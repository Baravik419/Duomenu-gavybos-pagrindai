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2"/>
  <workbookPr/>
  <mc:AlternateContent xmlns:mc="http://schemas.openxmlformats.org/markup-compatibility/2006">
    <mc:Choice Requires="x15">
      <x15ac:absPath xmlns:x15ac="http://schemas.microsoft.com/office/spreadsheetml/2010/11/ac" url="https://vgtuitsc-my.sharepoint.com/personal/ervin_borkovski_stud_vilniustech_lt/Documents/University/8 semestras/DGP/Duomenu-gavybos-pagrindai/3 ND/"/>
    </mc:Choice>
  </mc:AlternateContent>
  <xr:revisionPtr revIDLastSave="413" documentId="11_F25DC773A252ABDACC1048E2C1DD5B3A5ADE58EC" xr6:coauthVersionLast="47" xr6:coauthVersionMax="47" xr10:uidLastSave="{0BD8AAAE-F3D0-4340-9A94-6A27B39E8E73}"/>
  <bookViews>
    <workbookView xWindow="0" yWindow="600" windowWidth="29040" windowHeight="15720" xr2:uid="{00000000-000D-0000-FFFF-FFFF00000000}"/>
  </bookViews>
  <sheets>
    <sheet name="wine_dataset" sheetId="2" r:id="rId1"/>
    <sheet name="Sheet1" sheetId="3" r:id="rId2"/>
  </sheets>
  <definedNames>
    <definedName name="ExternalData_1" localSheetId="0" hidden="1">wine_dataset!$B$9:$O$187</definedName>
    <definedName name="ExternalData_2" localSheetId="0" hidden="1">wine_dataset!$R$7:$AE$185</definedName>
    <definedName name="ExternalData_3" localSheetId="0" hidden="1">wine_dataset!$AG$7:$AT$43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V9" i="2" l="1"/>
  <c r="BY9" i="2"/>
  <c r="BV8" i="2"/>
  <c r="CA9" i="2"/>
  <c r="CA10" i="2"/>
  <c r="CA11" i="2"/>
  <c r="CA12" i="2"/>
  <c r="CA13" i="2"/>
  <c r="CA14" i="2"/>
  <c r="CA15" i="2"/>
  <c r="CA16" i="2"/>
  <c r="CA17" i="2"/>
  <c r="CA18" i="2"/>
  <c r="CA19" i="2"/>
  <c r="CA20" i="2"/>
  <c r="CA21" i="2"/>
  <c r="CA22" i="2"/>
  <c r="CA23" i="2"/>
  <c r="CA24" i="2"/>
  <c r="CA25" i="2"/>
  <c r="CA26" i="2"/>
  <c r="CA27" i="2"/>
  <c r="CA28" i="2"/>
  <c r="CA29" i="2"/>
  <c r="CA30" i="2"/>
  <c r="CA31" i="2"/>
  <c r="CA32" i="2"/>
  <c r="CA33" i="2"/>
  <c r="CA34" i="2"/>
  <c r="CA35" i="2"/>
  <c r="CA36" i="2"/>
  <c r="CA37" i="2"/>
  <c r="CA38" i="2"/>
  <c r="CA39" i="2"/>
  <c r="CA40" i="2"/>
  <c r="CA41" i="2"/>
  <c r="CA42" i="2"/>
  <c r="CA43" i="2"/>
  <c r="CA8" i="2"/>
  <c r="BZ8" i="2"/>
  <c r="BY8" i="2"/>
  <c r="BX8" i="2"/>
  <c r="BT9" i="2"/>
  <c r="BU9" i="2"/>
  <c r="BT10" i="2"/>
  <c r="BU10" i="2"/>
  <c r="BV10" i="2"/>
  <c r="BT11" i="2"/>
  <c r="BU11" i="2"/>
  <c r="BV11" i="2"/>
  <c r="BT12" i="2"/>
  <c r="BU12" i="2"/>
  <c r="BV12" i="2"/>
  <c r="BT13" i="2"/>
  <c r="BU13" i="2"/>
  <c r="BV13" i="2"/>
  <c r="BT14" i="2"/>
  <c r="BU14" i="2"/>
  <c r="BV14" i="2"/>
  <c r="BT15" i="2"/>
  <c r="BU15" i="2"/>
  <c r="BV15" i="2"/>
  <c r="BT16" i="2"/>
  <c r="BU16" i="2"/>
  <c r="BV16" i="2"/>
  <c r="BT17" i="2"/>
  <c r="BU17" i="2"/>
  <c r="BV17" i="2"/>
  <c r="BT18" i="2"/>
  <c r="BU18" i="2"/>
  <c r="BV18" i="2"/>
  <c r="BT19" i="2"/>
  <c r="BU19" i="2"/>
  <c r="BV19" i="2"/>
  <c r="BT20" i="2"/>
  <c r="BU20" i="2"/>
  <c r="BV20" i="2"/>
  <c r="BT21" i="2"/>
  <c r="BU21" i="2"/>
  <c r="BV21" i="2"/>
  <c r="BT22" i="2"/>
  <c r="BU22" i="2"/>
  <c r="BV22" i="2"/>
  <c r="BT23" i="2"/>
  <c r="BU23" i="2"/>
  <c r="BV23" i="2"/>
  <c r="BT24" i="2"/>
  <c r="BU24" i="2"/>
  <c r="BV24" i="2"/>
  <c r="BT25" i="2"/>
  <c r="BU25" i="2"/>
  <c r="BV25" i="2"/>
  <c r="BT26" i="2"/>
  <c r="BU26" i="2"/>
  <c r="BV26" i="2"/>
  <c r="BT27" i="2"/>
  <c r="BU27" i="2"/>
  <c r="BV27" i="2"/>
  <c r="BT28" i="2"/>
  <c r="BU28" i="2"/>
  <c r="BV28" i="2"/>
  <c r="BT29" i="2"/>
  <c r="BU29" i="2"/>
  <c r="BV29" i="2"/>
  <c r="BT30" i="2"/>
  <c r="BU30" i="2"/>
  <c r="BV30" i="2"/>
  <c r="BT31" i="2"/>
  <c r="BU31" i="2"/>
  <c r="BV31" i="2"/>
  <c r="BT32" i="2"/>
  <c r="BU32" i="2"/>
  <c r="BV32" i="2"/>
  <c r="BT33" i="2"/>
  <c r="BU33" i="2"/>
  <c r="BV33" i="2"/>
  <c r="BT34" i="2"/>
  <c r="BU34" i="2"/>
  <c r="BV34" i="2"/>
  <c r="BT35" i="2"/>
  <c r="BU35" i="2"/>
  <c r="BV35" i="2"/>
  <c r="BT36" i="2"/>
  <c r="BU36" i="2"/>
  <c r="BV36" i="2"/>
  <c r="BT37" i="2"/>
  <c r="BU37" i="2"/>
  <c r="BV37" i="2"/>
  <c r="BT38" i="2"/>
  <c r="BU38" i="2"/>
  <c r="BV38" i="2"/>
  <c r="BT39" i="2"/>
  <c r="BU39" i="2"/>
  <c r="BV39" i="2"/>
  <c r="BT40" i="2"/>
  <c r="BU40" i="2"/>
  <c r="BV40" i="2"/>
  <c r="BT41" i="2"/>
  <c r="BU41" i="2"/>
  <c r="BV41" i="2"/>
  <c r="BT42" i="2"/>
  <c r="BU42" i="2"/>
  <c r="BV42" i="2"/>
  <c r="BT43" i="2"/>
  <c r="BU43" i="2"/>
  <c r="BV43" i="2"/>
  <c r="BU8" i="2"/>
  <c r="BT8" i="2"/>
  <c r="BB8" i="2"/>
  <c r="BF8" i="2" s="1"/>
  <c r="CB9" i="2" l="1"/>
  <c r="CB10" i="2"/>
  <c r="CB11" i="2"/>
  <c r="CB12" i="2"/>
  <c r="CB13" i="2"/>
  <c r="CB14" i="2"/>
  <c r="CB15" i="2"/>
  <c r="CB16" i="2"/>
  <c r="CB17" i="2"/>
  <c r="CB18" i="2"/>
  <c r="CB19" i="2"/>
  <c r="CB20" i="2"/>
  <c r="CB21" i="2"/>
  <c r="CB22" i="2"/>
  <c r="CB23" i="2"/>
  <c r="CB24" i="2"/>
  <c r="CB25" i="2"/>
  <c r="CB26" i="2"/>
  <c r="CB27" i="2"/>
  <c r="CB28" i="2"/>
  <c r="CB29" i="2"/>
  <c r="CB30" i="2"/>
  <c r="CB31" i="2"/>
  <c r="CB32" i="2"/>
  <c r="CB33" i="2"/>
  <c r="CB34" i="2"/>
  <c r="CB35" i="2"/>
  <c r="CB36" i="2"/>
  <c r="CB37" i="2"/>
  <c r="CB38" i="2"/>
  <c r="CB39" i="2"/>
  <c r="CB40" i="2"/>
  <c r="CB41" i="2"/>
  <c r="CB42" i="2"/>
  <c r="CB43" i="2"/>
  <c r="CB8" i="2"/>
  <c r="BD9" i="2"/>
  <c r="BH9" i="2" s="1"/>
  <c r="BD10" i="2"/>
  <c r="BH10" i="2" s="1"/>
  <c r="BD11" i="2"/>
  <c r="BH11" i="2" s="1"/>
  <c r="BD12" i="2"/>
  <c r="BH12" i="2" s="1"/>
  <c r="BD13" i="2"/>
  <c r="BH13" i="2" s="1"/>
  <c r="BD14" i="2"/>
  <c r="BH14" i="2" s="1"/>
  <c r="BD15" i="2"/>
  <c r="BH15" i="2" s="1"/>
  <c r="BD16" i="2"/>
  <c r="BH16" i="2" s="1"/>
  <c r="BD17" i="2"/>
  <c r="BH17" i="2" s="1"/>
  <c r="BD18" i="2"/>
  <c r="BH18" i="2" s="1"/>
  <c r="BD19" i="2"/>
  <c r="BH19" i="2" s="1"/>
  <c r="BD20" i="2"/>
  <c r="BH20" i="2" s="1"/>
  <c r="BD21" i="2"/>
  <c r="BH21" i="2" s="1"/>
  <c r="BD22" i="2"/>
  <c r="BH22" i="2" s="1"/>
  <c r="BD23" i="2"/>
  <c r="BH23" i="2" s="1"/>
  <c r="BD24" i="2"/>
  <c r="BH24" i="2" s="1"/>
  <c r="BD25" i="2"/>
  <c r="BH25" i="2" s="1"/>
  <c r="BD26" i="2"/>
  <c r="BH26" i="2" s="1"/>
  <c r="BD27" i="2"/>
  <c r="BH27" i="2" s="1"/>
  <c r="BD28" i="2"/>
  <c r="BH28" i="2" s="1"/>
  <c r="BD29" i="2"/>
  <c r="BH29" i="2" s="1"/>
  <c r="BD30" i="2"/>
  <c r="BH30" i="2" s="1"/>
  <c r="BD31" i="2"/>
  <c r="BH31" i="2" s="1"/>
  <c r="BD32" i="2"/>
  <c r="BH32" i="2" s="1"/>
  <c r="BD33" i="2"/>
  <c r="BH33" i="2" s="1"/>
  <c r="BD34" i="2"/>
  <c r="BH34" i="2" s="1"/>
  <c r="BD35" i="2"/>
  <c r="BH35" i="2" s="1"/>
  <c r="BD36" i="2"/>
  <c r="BH36" i="2" s="1"/>
  <c r="BD37" i="2"/>
  <c r="BH37" i="2" s="1"/>
  <c r="BD38" i="2"/>
  <c r="BH38" i="2" s="1"/>
  <c r="BD39" i="2"/>
  <c r="BH39" i="2" s="1"/>
  <c r="BD40" i="2"/>
  <c r="BH40" i="2" s="1"/>
  <c r="BD41" i="2"/>
  <c r="BH41" i="2" s="1"/>
  <c r="BD42" i="2"/>
  <c r="BH42" i="2" s="1"/>
  <c r="BD43" i="2"/>
  <c r="BH43" i="2" s="1"/>
  <c r="BD8" i="2"/>
  <c r="BH8" i="2" s="1"/>
  <c r="BC8" i="2"/>
  <c r="BG8" i="2" s="1"/>
  <c r="BC9" i="2"/>
  <c r="BG9" i="2" s="1"/>
  <c r="BC10" i="2"/>
  <c r="BG10" i="2" s="1"/>
  <c r="BC11" i="2"/>
  <c r="BG11" i="2" s="1"/>
  <c r="BC12" i="2"/>
  <c r="BG12" i="2" s="1"/>
  <c r="BC13" i="2"/>
  <c r="BG13" i="2" s="1"/>
  <c r="BC14" i="2"/>
  <c r="BG14" i="2" s="1"/>
  <c r="BC15" i="2"/>
  <c r="BG15" i="2" s="1"/>
  <c r="BC16" i="2"/>
  <c r="BG16" i="2" s="1"/>
  <c r="BC17" i="2"/>
  <c r="BG17" i="2" s="1"/>
  <c r="BC18" i="2"/>
  <c r="BG18" i="2" s="1"/>
  <c r="BC19" i="2"/>
  <c r="BG19" i="2" s="1"/>
  <c r="BC20" i="2"/>
  <c r="BG20" i="2" s="1"/>
  <c r="BC21" i="2"/>
  <c r="BG21" i="2" s="1"/>
  <c r="BC22" i="2"/>
  <c r="BG22" i="2" s="1"/>
  <c r="BC23" i="2"/>
  <c r="BG23" i="2" s="1"/>
  <c r="BC24" i="2"/>
  <c r="BG24" i="2" s="1"/>
  <c r="BC25" i="2"/>
  <c r="BG25" i="2" s="1"/>
  <c r="BC26" i="2"/>
  <c r="BG26" i="2" s="1"/>
  <c r="BC27" i="2"/>
  <c r="BG27" i="2" s="1"/>
  <c r="BC28" i="2"/>
  <c r="BG28" i="2" s="1"/>
  <c r="BC29" i="2"/>
  <c r="BG29" i="2" s="1"/>
  <c r="BC30" i="2"/>
  <c r="BG30" i="2" s="1"/>
  <c r="BC31" i="2"/>
  <c r="BG31" i="2" s="1"/>
  <c r="BC32" i="2"/>
  <c r="BG32" i="2" s="1"/>
  <c r="BC33" i="2"/>
  <c r="BG33" i="2" s="1"/>
  <c r="BC34" i="2"/>
  <c r="BG34" i="2" s="1"/>
  <c r="BC35" i="2"/>
  <c r="BG35" i="2" s="1"/>
  <c r="BC36" i="2"/>
  <c r="BG36" i="2" s="1"/>
  <c r="BC37" i="2"/>
  <c r="BG37" i="2" s="1"/>
  <c r="BC38" i="2"/>
  <c r="BG38" i="2" s="1"/>
  <c r="BC39" i="2"/>
  <c r="BG39" i="2" s="1"/>
  <c r="BC40" i="2"/>
  <c r="BG40" i="2" s="1"/>
  <c r="BC41" i="2"/>
  <c r="BG41" i="2" s="1"/>
  <c r="BC42" i="2"/>
  <c r="BG42" i="2" s="1"/>
  <c r="BC43" i="2"/>
  <c r="BG43" i="2" s="1"/>
  <c r="BB9" i="2"/>
  <c r="BF9" i="2" s="1"/>
  <c r="BB10" i="2"/>
  <c r="BF10" i="2" s="1"/>
  <c r="BB11" i="2"/>
  <c r="BF11" i="2" s="1"/>
  <c r="BB12" i="2"/>
  <c r="BF12" i="2" s="1"/>
  <c r="BB13" i="2"/>
  <c r="BF13" i="2" s="1"/>
  <c r="BB14" i="2"/>
  <c r="BF14" i="2" s="1"/>
  <c r="BB15" i="2"/>
  <c r="BF15" i="2" s="1"/>
  <c r="BB16" i="2"/>
  <c r="BF16" i="2" s="1"/>
  <c r="BB17" i="2"/>
  <c r="BF17" i="2" s="1"/>
  <c r="BB18" i="2"/>
  <c r="BF18" i="2" s="1"/>
  <c r="BB19" i="2"/>
  <c r="BF19" i="2" s="1"/>
  <c r="BB20" i="2"/>
  <c r="BF20" i="2" s="1"/>
  <c r="BB21" i="2"/>
  <c r="BF21" i="2" s="1"/>
  <c r="BB22" i="2"/>
  <c r="BF22" i="2" s="1"/>
  <c r="BB23" i="2"/>
  <c r="BF23" i="2" s="1"/>
  <c r="BB24" i="2"/>
  <c r="BF24" i="2" s="1"/>
  <c r="BB25" i="2"/>
  <c r="BF25" i="2" s="1"/>
  <c r="BB26" i="2"/>
  <c r="BF26" i="2" s="1"/>
  <c r="BB27" i="2"/>
  <c r="BF27" i="2" s="1"/>
  <c r="BB28" i="2"/>
  <c r="BF28" i="2" s="1"/>
  <c r="BB29" i="2"/>
  <c r="BF29" i="2" s="1"/>
  <c r="BB30" i="2"/>
  <c r="BF30" i="2" s="1"/>
  <c r="BB31" i="2"/>
  <c r="BF31" i="2" s="1"/>
  <c r="BB32" i="2"/>
  <c r="BF32" i="2" s="1"/>
  <c r="BB33" i="2"/>
  <c r="BF33" i="2" s="1"/>
  <c r="BB34" i="2"/>
  <c r="BF34" i="2" s="1"/>
  <c r="BB35" i="2"/>
  <c r="BF35" i="2" s="1"/>
  <c r="BB36" i="2"/>
  <c r="BF36" i="2" s="1"/>
  <c r="BB37" i="2"/>
  <c r="BF37" i="2" s="1"/>
  <c r="BB38" i="2"/>
  <c r="BF38" i="2" s="1"/>
  <c r="BB39" i="2"/>
  <c r="BF39" i="2" s="1"/>
  <c r="BB40" i="2"/>
  <c r="BF40" i="2" s="1"/>
  <c r="BB41" i="2"/>
  <c r="BF41" i="2" s="1"/>
  <c r="BB42" i="2"/>
  <c r="BF42" i="2" s="1"/>
  <c r="BB43" i="2"/>
  <c r="BF43" i="2" s="1"/>
  <c r="C8" i="2"/>
  <c r="D8" i="2"/>
  <c r="E8" i="2"/>
  <c r="F8" i="2"/>
  <c r="G8" i="2"/>
  <c r="H8" i="2"/>
  <c r="I8" i="2"/>
  <c r="J8" i="2"/>
  <c r="K8" i="2"/>
  <c r="L8" i="2"/>
  <c r="M8" i="2"/>
  <c r="N8" i="2"/>
  <c r="B8" i="2"/>
  <c r="C7" i="2"/>
  <c r="D7" i="2"/>
  <c r="E7" i="2"/>
  <c r="F7" i="2"/>
  <c r="G7" i="2"/>
  <c r="H7" i="2"/>
  <c r="I7" i="2"/>
  <c r="J7" i="2"/>
  <c r="K7" i="2"/>
  <c r="L7" i="2"/>
  <c r="M7" i="2"/>
  <c r="N7" i="2"/>
  <c r="B7" i="2"/>
  <c r="BM12" i="2" l="1"/>
  <c r="BR12" i="2" s="1"/>
  <c r="BJ12" i="2"/>
  <c r="BO12" i="2" s="1"/>
  <c r="BL12" i="2"/>
  <c r="BQ12" i="2" s="1"/>
  <c r="BK12" i="2"/>
  <c r="BP12" i="2" s="1"/>
  <c r="BM16" i="2"/>
  <c r="BR16" i="2" s="1"/>
  <c r="BJ16" i="2"/>
  <c r="BO16" i="2" s="1"/>
  <c r="BK16" i="2"/>
  <c r="BP16" i="2" s="1"/>
  <c r="BL16" i="2"/>
  <c r="BQ16" i="2" s="1"/>
  <c r="BJ14" i="2"/>
  <c r="BO14" i="2" s="1"/>
  <c r="BK14" i="2"/>
  <c r="BP14" i="2" s="1"/>
  <c r="BM14" i="2"/>
  <c r="BR14" i="2" s="1"/>
  <c r="BL14" i="2"/>
  <c r="BQ14" i="2" s="1"/>
  <c r="BJ13" i="2"/>
  <c r="BO13" i="2" s="1"/>
  <c r="BK13" i="2"/>
  <c r="BP13" i="2" s="1"/>
  <c r="BL13" i="2"/>
  <c r="BQ13" i="2" s="1"/>
  <c r="BM13" i="2"/>
  <c r="BR13" i="2" s="1"/>
  <c r="BJ43" i="2"/>
  <c r="BO43" i="2" s="1"/>
  <c r="BK43" i="2"/>
  <c r="BP43" i="2" s="1"/>
  <c r="BL43" i="2"/>
  <c r="BQ43" i="2" s="1"/>
  <c r="BM43" i="2"/>
  <c r="BR43" i="2" s="1"/>
  <c r="BJ29" i="2"/>
  <c r="BO29" i="2" s="1"/>
  <c r="BK29" i="2"/>
  <c r="BP29" i="2" s="1"/>
  <c r="BL29" i="2"/>
  <c r="BQ29" i="2" s="1"/>
  <c r="BM29" i="2"/>
  <c r="BR29" i="2" s="1"/>
  <c r="BJ27" i="2"/>
  <c r="BO27" i="2" s="1"/>
  <c r="BL27" i="2"/>
  <c r="BQ27" i="2" s="1"/>
  <c r="BM27" i="2"/>
  <c r="BR27" i="2" s="1"/>
  <c r="BK27" i="2"/>
  <c r="BP27" i="2" s="1"/>
  <c r="BJ23" i="2"/>
  <c r="BO23" i="2" s="1"/>
  <c r="BK23" i="2"/>
  <c r="BP23" i="2" s="1"/>
  <c r="BL23" i="2"/>
  <c r="BQ23" i="2" s="1"/>
  <c r="BM23" i="2"/>
  <c r="BR23" i="2" s="1"/>
  <c r="BM32" i="2"/>
  <c r="BR32" i="2" s="1"/>
  <c r="BK32" i="2"/>
  <c r="BP32" i="2" s="1"/>
  <c r="BL32" i="2"/>
  <c r="BQ32" i="2" s="1"/>
  <c r="BJ32" i="2"/>
  <c r="BO32" i="2" s="1"/>
  <c r="BJ22" i="2"/>
  <c r="BO22" i="2" s="1"/>
  <c r="BK22" i="2"/>
  <c r="BP22" i="2" s="1"/>
  <c r="BL22" i="2"/>
  <c r="BQ22" i="2" s="1"/>
  <c r="BM22" i="2"/>
  <c r="BR22" i="2" s="1"/>
  <c r="BJ31" i="2"/>
  <c r="BO31" i="2" s="1"/>
  <c r="BK31" i="2"/>
  <c r="BP31" i="2" s="1"/>
  <c r="BL31" i="2"/>
  <c r="BQ31" i="2" s="1"/>
  <c r="BM31" i="2"/>
  <c r="BR31" i="2" s="1"/>
  <c r="BJ30" i="2"/>
  <c r="BO30" i="2" s="1"/>
  <c r="BK30" i="2"/>
  <c r="BP30" i="2" s="1"/>
  <c r="BL30" i="2"/>
  <c r="BQ30" i="2" s="1"/>
  <c r="BM30" i="2"/>
  <c r="BR30" i="2" s="1"/>
  <c r="BM28" i="2"/>
  <c r="BR28" i="2" s="1"/>
  <c r="BJ28" i="2"/>
  <c r="BO28" i="2" s="1"/>
  <c r="BK28" i="2"/>
  <c r="BP28" i="2" s="1"/>
  <c r="BL28" i="2"/>
  <c r="BQ28" i="2" s="1"/>
  <c r="BK10" i="2"/>
  <c r="BP10" i="2" s="1"/>
  <c r="BJ10" i="2"/>
  <c r="BO10" i="2" s="1"/>
  <c r="BL10" i="2"/>
  <c r="BQ10" i="2" s="1"/>
  <c r="BM10" i="2"/>
  <c r="BR10" i="2" s="1"/>
  <c r="BJ21" i="2"/>
  <c r="BO21" i="2" s="1"/>
  <c r="BK21" i="2"/>
  <c r="BP21" i="2" s="1"/>
  <c r="BL21" i="2"/>
  <c r="BQ21" i="2" s="1"/>
  <c r="BM21" i="2"/>
  <c r="BR21" i="2" s="1"/>
  <c r="BJ8" i="2"/>
  <c r="BO8" i="2" s="1"/>
  <c r="BM8" i="2"/>
  <c r="BR8" i="2" s="1"/>
  <c r="BL8" i="2"/>
  <c r="BQ8" i="2" s="1"/>
  <c r="BK8" i="2"/>
  <c r="BP8" i="2" s="1"/>
  <c r="BJ42" i="2"/>
  <c r="BO42" i="2" s="1"/>
  <c r="BK42" i="2"/>
  <c r="BP42" i="2" s="1"/>
  <c r="BM42" i="2"/>
  <c r="BR42" i="2" s="1"/>
  <c r="BL42" i="2"/>
  <c r="BQ42" i="2" s="1"/>
  <c r="BM20" i="2"/>
  <c r="BR20" i="2" s="1"/>
  <c r="BL20" i="2"/>
  <c r="BQ20" i="2" s="1"/>
  <c r="BK20" i="2"/>
  <c r="BP20" i="2" s="1"/>
  <c r="BJ20" i="2"/>
  <c r="BO20" i="2" s="1"/>
  <c r="BJ15" i="2"/>
  <c r="BO15" i="2" s="1"/>
  <c r="BK15" i="2"/>
  <c r="BP15" i="2" s="1"/>
  <c r="BL15" i="2"/>
  <c r="BQ15" i="2" s="1"/>
  <c r="BM15" i="2"/>
  <c r="BR15" i="2" s="1"/>
  <c r="BJ11" i="2"/>
  <c r="BO11" i="2" s="1"/>
  <c r="BL11" i="2"/>
  <c r="BQ11" i="2" s="1"/>
  <c r="BM11" i="2"/>
  <c r="BR11" i="2" s="1"/>
  <c r="BK11" i="2"/>
  <c r="BP11" i="2" s="1"/>
  <c r="BJ41" i="2"/>
  <c r="BO41" i="2" s="1"/>
  <c r="BK41" i="2"/>
  <c r="BP41" i="2" s="1"/>
  <c r="BL41" i="2"/>
  <c r="BQ41" i="2" s="1"/>
  <c r="BM41" i="2"/>
  <c r="BR41" i="2" s="1"/>
  <c r="BJ39" i="2"/>
  <c r="BO39" i="2" s="1"/>
  <c r="BK39" i="2"/>
  <c r="BP39" i="2" s="1"/>
  <c r="BL39" i="2"/>
  <c r="BQ39" i="2" s="1"/>
  <c r="BM39" i="2"/>
  <c r="BR39" i="2" s="1"/>
  <c r="BK37" i="2"/>
  <c r="BP37" i="2" s="1"/>
  <c r="BL37" i="2"/>
  <c r="BQ37" i="2" s="1"/>
  <c r="BJ37" i="2"/>
  <c r="BO37" i="2" s="1"/>
  <c r="BM37" i="2"/>
  <c r="BR37" i="2" s="1"/>
  <c r="BM36" i="2"/>
  <c r="BR36" i="2" s="1"/>
  <c r="BJ36" i="2"/>
  <c r="BO36" i="2" s="1"/>
  <c r="BK36" i="2"/>
  <c r="BP36" i="2" s="1"/>
  <c r="BL36" i="2"/>
  <c r="BQ36" i="2" s="1"/>
  <c r="BJ26" i="2"/>
  <c r="BO26" i="2" s="1"/>
  <c r="BK26" i="2"/>
  <c r="BP26" i="2" s="1"/>
  <c r="BL26" i="2"/>
  <c r="BQ26" i="2" s="1"/>
  <c r="BM26" i="2"/>
  <c r="BR26" i="2" s="1"/>
  <c r="BJ9" i="2"/>
  <c r="BO9" i="2" s="1"/>
  <c r="BK9" i="2"/>
  <c r="BP9" i="2" s="1"/>
  <c r="BL9" i="2"/>
  <c r="BQ9" i="2" s="1"/>
  <c r="BM9" i="2"/>
  <c r="BR9" i="2" s="1"/>
  <c r="BM40" i="2"/>
  <c r="BR40" i="2" s="1"/>
  <c r="BJ40" i="2"/>
  <c r="BO40" i="2" s="1"/>
  <c r="BL40" i="2"/>
  <c r="BQ40" i="2" s="1"/>
  <c r="BK40" i="2"/>
  <c r="BP40" i="2" s="1"/>
  <c r="BJ38" i="2"/>
  <c r="BO38" i="2" s="1"/>
  <c r="BK38" i="2"/>
  <c r="BP38" i="2" s="1"/>
  <c r="BL38" i="2"/>
  <c r="BQ38" i="2" s="1"/>
  <c r="BM38" i="2"/>
  <c r="BR38" i="2" s="1"/>
  <c r="BK34" i="2"/>
  <c r="BP34" i="2" s="1"/>
  <c r="BJ34" i="2"/>
  <c r="BO34" i="2" s="1"/>
  <c r="BM34" i="2"/>
  <c r="BR34" i="2" s="1"/>
  <c r="BL34" i="2"/>
  <c r="BQ34" i="2" s="1"/>
  <c r="BJ25" i="2"/>
  <c r="BO25" i="2" s="1"/>
  <c r="BK25" i="2"/>
  <c r="BP25" i="2" s="1"/>
  <c r="BM25" i="2"/>
  <c r="BR25" i="2" s="1"/>
  <c r="BL25" i="2"/>
  <c r="BQ25" i="2" s="1"/>
  <c r="BM24" i="2"/>
  <c r="BR24" i="2" s="1"/>
  <c r="BJ24" i="2"/>
  <c r="BO24" i="2" s="1"/>
  <c r="BK24" i="2"/>
  <c r="BP24" i="2" s="1"/>
  <c r="BL24" i="2"/>
  <c r="BQ24" i="2" s="1"/>
  <c r="BL35" i="2"/>
  <c r="BQ35" i="2" s="1"/>
  <c r="BM35" i="2"/>
  <c r="BR35" i="2" s="1"/>
  <c r="BK35" i="2"/>
  <c r="BP35" i="2" s="1"/>
  <c r="BJ35" i="2"/>
  <c r="BO35" i="2" s="1"/>
  <c r="BJ19" i="2"/>
  <c r="BO19" i="2" s="1"/>
  <c r="BM19" i="2"/>
  <c r="BR19" i="2" s="1"/>
  <c r="BL19" i="2"/>
  <c r="BQ19" i="2" s="1"/>
  <c r="BK19" i="2"/>
  <c r="BP19" i="2" s="1"/>
  <c r="BJ18" i="2"/>
  <c r="BO18" i="2" s="1"/>
  <c r="BK18" i="2"/>
  <c r="BP18" i="2" s="1"/>
  <c r="BL18" i="2"/>
  <c r="BQ18" i="2" s="1"/>
  <c r="BM18" i="2"/>
  <c r="BR18" i="2" s="1"/>
  <c r="BJ33" i="2"/>
  <c r="BO33" i="2" s="1"/>
  <c r="BK33" i="2"/>
  <c r="BP33" i="2" s="1"/>
  <c r="BL33" i="2"/>
  <c r="BQ33" i="2" s="1"/>
  <c r="BM33" i="2"/>
  <c r="BR33" i="2" s="1"/>
  <c r="BJ17" i="2"/>
  <c r="BO17" i="2" s="1"/>
  <c r="BL17" i="2"/>
  <c r="BQ17" i="2" s="1"/>
  <c r="BM17" i="2"/>
  <c r="BR17" i="2" s="1"/>
  <c r="BK17" i="2"/>
  <c r="BP17" i="2" s="1"/>
  <c r="AB71" i="2"/>
  <c r="T58" i="2"/>
  <c r="BY31" i="2"/>
  <c r="BZ31" i="2"/>
  <c r="BX31" i="2"/>
  <c r="BY39" i="2"/>
  <c r="BZ39" i="2"/>
  <c r="BX39" i="2"/>
  <c r="BX37" i="2"/>
  <c r="BY37" i="2"/>
  <c r="BZ37" i="2"/>
  <c r="BY23" i="2"/>
  <c r="BZ23" i="2"/>
  <c r="BX23" i="2"/>
  <c r="BX38" i="2"/>
  <c r="BY38" i="2"/>
  <c r="BZ38" i="2"/>
  <c r="BX13" i="2"/>
  <c r="BY13" i="2"/>
  <c r="BZ13" i="2"/>
  <c r="BZ28" i="2"/>
  <c r="BX28" i="2"/>
  <c r="BY28" i="2"/>
  <c r="BX43" i="2"/>
  <c r="BY43" i="2"/>
  <c r="BZ43" i="2"/>
  <c r="BX11" i="2"/>
  <c r="BY11" i="2"/>
  <c r="BZ11" i="2"/>
  <c r="BX14" i="2"/>
  <c r="BZ14" i="2"/>
  <c r="BY14" i="2"/>
  <c r="BX21" i="2"/>
  <c r="BY21" i="2"/>
  <c r="BZ21" i="2"/>
  <c r="BZ20" i="2"/>
  <c r="BX20" i="2"/>
  <c r="BY20" i="2"/>
  <c r="BX35" i="2"/>
  <c r="BY35" i="2"/>
  <c r="BZ35" i="2"/>
  <c r="BX18" i="2"/>
  <c r="BY18" i="2"/>
  <c r="BZ18" i="2"/>
  <c r="BY15" i="2"/>
  <c r="BZ15" i="2"/>
  <c r="BX15" i="2"/>
  <c r="BZ22" i="2"/>
  <c r="BX22" i="2"/>
  <c r="BY22" i="2"/>
  <c r="BX29" i="2"/>
  <c r="BY29" i="2"/>
  <c r="BZ29" i="2"/>
  <c r="BZ36" i="2"/>
  <c r="BX36" i="2"/>
  <c r="BY36" i="2"/>
  <c r="BX27" i="2"/>
  <c r="BY27" i="2"/>
  <c r="BZ27" i="2"/>
  <c r="BX42" i="2"/>
  <c r="BY42" i="2"/>
  <c r="BZ42" i="2"/>
  <c r="BX26" i="2"/>
  <c r="BY26" i="2"/>
  <c r="BZ26" i="2"/>
  <c r="BY41" i="2"/>
  <c r="BX41" i="2"/>
  <c r="BZ41" i="2"/>
  <c r="BY25" i="2"/>
  <c r="BX25" i="2"/>
  <c r="BZ25" i="2"/>
  <c r="BX9" i="2"/>
  <c r="BZ9" i="2"/>
  <c r="BZ30" i="2"/>
  <c r="BX30" i="2"/>
  <c r="BY30" i="2"/>
  <c r="BZ12" i="2"/>
  <c r="BX12" i="2"/>
  <c r="BY12" i="2"/>
  <c r="BX19" i="2"/>
  <c r="BY19" i="2"/>
  <c r="BZ19" i="2"/>
  <c r="BX34" i="2"/>
  <c r="BY34" i="2"/>
  <c r="BZ34" i="2"/>
  <c r="BX10" i="2"/>
  <c r="BY10" i="2"/>
  <c r="BZ10" i="2"/>
  <c r="BX33" i="2"/>
  <c r="BZ33" i="2"/>
  <c r="BY33" i="2"/>
  <c r="BX17" i="2"/>
  <c r="BZ17" i="2"/>
  <c r="BY17" i="2"/>
  <c r="BX40" i="2"/>
  <c r="BY40" i="2"/>
  <c r="BZ40" i="2"/>
  <c r="BX32" i="2"/>
  <c r="BY32" i="2"/>
  <c r="BZ32" i="2"/>
  <c r="BX24" i="2"/>
  <c r="BY24" i="2"/>
  <c r="BZ24" i="2"/>
  <c r="BX16" i="2"/>
  <c r="BY16" i="2"/>
  <c r="BZ16" i="2"/>
  <c r="W166" i="2"/>
  <c r="AD78" i="2"/>
  <c r="V22" i="2"/>
  <c r="U142" i="2"/>
  <c r="Z143" i="2"/>
  <c r="W184" i="2"/>
  <c r="Z128" i="2"/>
  <c r="U126" i="2"/>
  <c r="AA48" i="2"/>
  <c r="Z175" i="2"/>
  <c r="Z93" i="2"/>
  <c r="Y75" i="2"/>
  <c r="V162" i="2"/>
  <c r="T167" i="2"/>
  <c r="AB117" i="2"/>
  <c r="S26" i="2"/>
  <c r="Z172" i="2"/>
  <c r="Z167" i="2"/>
  <c r="Z119" i="2"/>
  <c r="AD112" i="2"/>
  <c r="AC29" i="2"/>
  <c r="U8" i="2"/>
  <c r="T117" i="2"/>
  <c r="T126" i="2"/>
  <c r="R122" i="2"/>
  <c r="W35" i="2"/>
  <c r="Z150" i="2"/>
  <c r="T82" i="2"/>
  <c r="U61" i="2"/>
  <c r="X14" i="2"/>
  <c r="V155" i="2"/>
  <c r="Y143" i="2"/>
  <c r="S135" i="2"/>
  <c r="AB154" i="2"/>
  <c r="U184" i="2"/>
  <c r="Y180" i="2"/>
  <c r="Y175" i="2"/>
  <c r="Z170" i="2"/>
  <c r="T165" i="2"/>
  <c r="R159" i="2"/>
  <c r="AD154" i="2"/>
  <c r="U149" i="2"/>
  <c r="AA142" i="2"/>
  <c r="Z132" i="2"/>
  <c r="S126" i="2"/>
  <c r="S117" i="2"/>
  <c r="Y100" i="2"/>
  <c r="V59" i="2"/>
  <c r="S161" i="2"/>
  <c r="U181" i="2"/>
  <c r="U160" i="2"/>
  <c r="AA149" i="2"/>
  <c r="AD135" i="2"/>
  <c r="AA102" i="2"/>
  <c r="Y183" i="2"/>
  <c r="T180" i="2"/>
  <c r="U175" i="2"/>
  <c r="Z169" i="2"/>
  <c r="AD163" i="2"/>
  <c r="Z158" i="2"/>
  <c r="AD153" i="2"/>
  <c r="T149" i="2"/>
  <c r="Y132" i="2"/>
  <c r="W124" i="2"/>
  <c r="W115" i="2"/>
  <c r="Y95" i="2"/>
  <c r="AD74" i="2"/>
  <c r="T52" i="2"/>
  <c r="Y177" i="2"/>
  <c r="AB105" i="2"/>
  <c r="AC131" i="2"/>
  <c r="U55" i="2"/>
  <c r="W8" i="2"/>
  <c r="U183" i="2"/>
  <c r="S180" i="2"/>
  <c r="Y174" i="2"/>
  <c r="Y169" i="2"/>
  <c r="Y163" i="2"/>
  <c r="Y158" i="2"/>
  <c r="Y152" i="2"/>
  <c r="V148" i="2"/>
  <c r="T142" i="2"/>
  <c r="R131" i="2"/>
  <c r="V115" i="2"/>
  <c r="Y92" i="2"/>
  <c r="U70" i="2"/>
  <c r="U43" i="2"/>
  <c r="V181" i="2"/>
  <c r="Y171" i="2"/>
  <c r="S156" i="2"/>
  <c r="Y136" i="2"/>
  <c r="AA110" i="2"/>
  <c r="U83" i="2"/>
  <c r="S65" i="2"/>
  <c r="V184" i="2"/>
  <c r="AA170" i="2"/>
  <c r="V8" i="2"/>
  <c r="T183" i="2"/>
  <c r="Z178" i="2"/>
  <c r="AA173" i="2"/>
  <c r="AB168" i="2"/>
  <c r="AA162" i="2"/>
  <c r="AB157" i="2"/>
  <c r="S152" i="2"/>
  <c r="AD146" i="2"/>
  <c r="U141" i="2"/>
  <c r="T130" i="2"/>
  <c r="AD121" i="2"/>
  <c r="T113" i="2"/>
  <c r="AD89" i="2"/>
  <c r="S69" i="2"/>
  <c r="Y33" i="2"/>
  <c r="S31" i="2"/>
  <c r="S183" i="2"/>
  <c r="V178" i="2"/>
  <c r="Y156" i="2"/>
  <c r="S151" i="2"/>
  <c r="S145" i="2"/>
  <c r="S137" i="2"/>
  <c r="Y87" i="2"/>
  <c r="AA65" i="2"/>
  <c r="S185" i="2"/>
  <c r="W181" i="2"/>
  <c r="U178" i="2"/>
  <c r="Y172" i="2"/>
  <c r="U167" i="2"/>
  <c r="U162" i="2"/>
  <c r="T156" i="2"/>
  <c r="AA150" i="2"/>
  <c r="S144" i="2"/>
  <c r="Z136" i="2"/>
  <c r="Y128" i="2"/>
  <c r="Y119" i="2"/>
  <c r="V111" i="2"/>
  <c r="V83" i="2"/>
  <c r="V65" i="2"/>
  <c r="U22" i="2"/>
  <c r="X145" i="2"/>
  <c r="AC139" i="2"/>
  <c r="AC132" i="2"/>
  <c r="R9" i="2"/>
  <c r="R17" i="2"/>
  <c r="R25" i="2"/>
  <c r="R33" i="2"/>
  <c r="R41" i="2"/>
  <c r="R49" i="2"/>
  <c r="R57" i="2"/>
  <c r="R14" i="2"/>
  <c r="R22" i="2"/>
  <c r="R30" i="2"/>
  <c r="R38" i="2"/>
  <c r="R11" i="2"/>
  <c r="R19" i="2"/>
  <c r="R27" i="2"/>
  <c r="R35" i="2"/>
  <c r="R43" i="2"/>
  <c r="R51" i="2"/>
  <c r="R59" i="2"/>
  <c r="R16" i="2"/>
  <c r="R24" i="2"/>
  <c r="R32" i="2"/>
  <c r="R40" i="2"/>
  <c r="R48" i="2"/>
  <c r="R56" i="2"/>
  <c r="R13" i="2"/>
  <c r="R29" i="2"/>
  <c r="R45" i="2"/>
  <c r="R67" i="2"/>
  <c r="R75" i="2"/>
  <c r="R83" i="2"/>
  <c r="R18" i="2"/>
  <c r="R34" i="2"/>
  <c r="R46" i="2"/>
  <c r="R47" i="2"/>
  <c r="R50" i="2"/>
  <c r="R53" i="2"/>
  <c r="R64" i="2"/>
  <c r="R72" i="2"/>
  <c r="R80" i="2"/>
  <c r="R23" i="2"/>
  <c r="R39" i="2"/>
  <c r="R52" i="2"/>
  <c r="R54" i="2"/>
  <c r="R55" i="2"/>
  <c r="R58" i="2"/>
  <c r="R61" i="2"/>
  <c r="R12" i="2"/>
  <c r="R10" i="2"/>
  <c r="R36" i="2"/>
  <c r="R76" i="2"/>
  <c r="R92" i="2"/>
  <c r="R100" i="2"/>
  <c r="R108" i="2"/>
  <c r="R21" i="2"/>
  <c r="R77" i="2"/>
  <c r="R81" i="2"/>
  <c r="R89" i="2"/>
  <c r="R97" i="2"/>
  <c r="R105" i="2"/>
  <c r="R113" i="2"/>
  <c r="R121" i="2"/>
  <c r="R129" i="2"/>
  <c r="R137" i="2"/>
  <c r="R145" i="2"/>
  <c r="R153" i="2"/>
  <c r="R15" i="2"/>
  <c r="R37" i="2"/>
  <c r="R68" i="2"/>
  <c r="R82" i="2"/>
  <c r="R94" i="2"/>
  <c r="R102" i="2"/>
  <c r="R110" i="2"/>
  <c r="R118" i="2"/>
  <c r="R126" i="2"/>
  <c r="R134" i="2"/>
  <c r="R31" i="2"/>
  <c r="R69" i="2"/>
  <c r="R73" i="2"/>
  <c r="R86" i="2"/>
  <c r="R62" i="2"/>
  <c r="R79" i="2"/>
  <c r="R90" i="2"/>
  <c r="R93" i="2"/>
  <c r="R96" i="2"/>
  <c r="R99" i="2"/>
  <c r="R114" i="2"/>
  <c r="R128" i="2"/>
  <c r="R132" i="2"/>
  <c r="R136" i="2"/>
  <c r="R143" i="2"/>
  <c r="R155" i="2"/>
  <c r="R163" i="2"/>
  <c r="R171" i="2"/>
  <c r="R179" i="2"/>
  <c r="R28" i="2"/>
  <c r="R66" i="2"/>
  <c r="R84" i="2"/>
  <c r="R95" i="2"/>
  <c r="R98" i="2"/>
  <c r="R101" i="2"/>
  <c r="R104" i="2"/>
  <c r="R107" i="2"/>
  <c r="R115" i="2"/>
  <c r="R119" i="2"/>
  <c r="R133" i="2"/>
  <c r="R141" i="2"/>
  <c r="R148" i="2"/>
  <c r="R160" i="2"/>
  <c r="R168" i="2"/>
  <c r="R176" i="2"/>
  <c r="R184" i="2"/>
  <c r="R20" i="2"/>
  <c r="R44" i="2"/>
  <c r="R60" i="2"/>
  <c r="R71" i="2"/>
  <c r="R87" i="2"/>
  <c r="R103" i="2"/>
  <c r="R106" i="2"/>
  <c r="R109" i="2"/>
  <c r="R120" i="2"/>
  <c r="R124" i="2"/>
  <c r="R139" i="2"/>
  <c r="R146" i="2"/>
  <c r="R157" i="2"/>
  <c r="R165" i="2"/>
  <c r="R173" i="2"/>
  <c r="R181" i="2"/>
  <c r="R63" i="2"/>
  <c r="R78" i="2"/>
  <c r="R111" i="2"/>
  <c r="R125" i="2"/>
  <c r="R144" i="2"/>
  <c r="R151" i="2"/>
  <c r="R162" i="2"/>
  <c r="R65" i="2"/>
  <c r="R112" i="2"/>
  <c r="R116" i="2"/>
  <c r="R130" i="2"/>
  <c r="W176" i="2"/>
  <c r="R138" i="2"/>
  <c r="W130" i="2"/>
  <c r="AB123" i="2"/>
  <c r="X105" i="2"/>
  <c r="AB97" i="2"/>
  <c r="AC94" i="2"/>
  <c r="AB86" i="2"/>
  <c r="R42" i="2"/>
  <c r="V13" i="2"/>
  <c r="V21" i="2"/>
  <c r="V29" i="2"/>
  <c r="V37" i="2"/>
  <c r="V45" i="2"/>
  <c r="V53" i="2"/>
  <c r="V10" i="2"/>
  <c r="V18" i="2"/>
  <c r="V26" i="2"/>
  <c r="V34" i="2"/>
  <c r="V42" i="2"/>
  <c r="V15" i="2"/>
  <c r="V23" i="2"/>
  <c r="V31" i="2"/>
  <c r="V39" i="2"/>
  <c r="V47" i="2"/>
  <c r="V55" i="2"/>
  <c r="V12" i="2"/>
  <c r="V20" i="2"/>
  <c r="V28" i="2"/>
  <c r="V36" i="2"/>
  <c r="V44" i="2"/>
  <c r="V52" i="2"/>
  <c r="V60" i="2"/>
  <c r="V9" i="2"/>
  <c r="V25" i="2"/>
  <c r="V41" i="2"/>
  <c r="V63" i="2"/>
  <c r="V71" i="2"/>
  <c r="V79" i="2"/>
  <c r="V14" i="2"/>
  <c r="V30" i="2"/>
  <c r="V68" i="2"/>
  <c r="V76" i="2"/>
  <c r="V84" i="2"/>
  <c r="V19" i="2"/>
  <c r="V35" i="2"/>
  <c r="V16" i="2"/>
  <c r="V38" i="2"/>
  <c r="V40" i="2"/>
  <c r="V49" i="2"/>
  <c r="V70" i="2"/>
  <c r="V74" i="2"/>
  <c r="V88" i="2"/>
  <c r="V96" i="2"/>
  <c r="V104" i="2"/>
  <c r="V32" i="2"/>
  <c r="V46" i="2"/>
  <c r="V57" i="2"/>
  <c r="V75" i="2"/>
  <c r="V93" i="2"/>
  <c r="V101" i="2"/>
  <c r="V109" i="2"/>
  <c r="V117" i="2"/>
  <c r="V125" i="2"/>
  <c r="V133" i="2"/>
  <c r="V141" i="2"/>
  <c r="V149" i="2"/>
  <c r="V17" i="2"/>
  <c r="V54" i="2"/>
  <c r="V66" i="2"/>
  <c r="V80" i="2"/>
  <c r="V90" i="2"/>
  <c r="V98" i="2"/>
  <c r="V106" i="2"/>
  <c r="V114" i="2"/>
  <c r="V122" i="2"/>
  <c r="V130" i="2"/>
  <c r="V33" i="2"/>
  <c r="V51" i="2"/>
  <c r="V67" i="2"/>
  <c r="V81" i="2"/>
  <c r="V85" i="2"/>
  <c r="V87" i="2"/>
  <c r="V43" i="2"/>
  <c r="V56" i="2"/>
  <c r="V77" i="2"/>
  <c r="V112" i="2"/>
  <c r="V126" i="2"/>
  <c r="V135" i="2"/>
  <c r="V142" i="2"/>
  <c r="V154" i="2"/>
  <c r="V159" i="2"/>
  <c r="V167" i="2"/>
  <c r="V175" i="2"/>
  <c r="V183" i="2"/>
  <c r="V11" i="2"/>
  <c r="V50" i="2"/>
  <c r="V62" i="2"/>
  <c r="V82" i="2"/>
  <c r="V113" i="2"/>
  <c r="V127" i="2"/>
  <c r="V131" i="2"/>
  <c r="V140" i="2"/>
  <c r="V147" i="2"/>
  <c r="V156" i="2"/>
  <c r="V164" i="2"/>
  <c r="V172" i="2"/>
  <c r="V180" i="2"/>
  <c r="V24" i="2"/>
  <c r="V64" i="2"/>
  <c r="V69" i="2"/>
  <c r="V89" i="2"/>
  <c r="V92" i="2"/>
  <c r="V95" i="2"/>
  <c r="V118" i="2"/>
  <c r="V132" i="2"/>
  <c r="V138" i="2"/>
  <c r="V145" i="2"/>
  <c r="V152" i="2"/>
  <c r="V161" i="2"/>
  <c r="V169" i="2"/>
  <c r="V177" i="2"/>
  <c r="V185" i="2"/>
  <c r="V48" i="2"/>
  <c r="V91" i="2"/>
  <c r="V94" i="2"/>
  <c r="V97" i="2"/>
  <c r="V100" i="2"/>
  <c r="V103" i="2"/>
  <c r="V119" i="2"/>
  <c r="V123" i="2"/>
  <c r="V143" i="2"/>
  <c r="V150" i="2"/>
  <c r="V158" i="2"/>
  <c r="V166" i="2"/>
  <c r="V73" i="2"/>
  <c r="V99" i="2"/>
  <c r="V102" i="2"/>
  <c r="V105" i="2"/>
  <c r="V108" i="2"/>
  <c r="V124" i="2"/>
  <c r="V128" i="2"/>
  <c r="V136" i="2"/>
  <c r="W177" i="2"/>
  <c r="V173" i="2"/>
  <c r="W171" i="2"/>
  <c r="W168" i="2"/>
  <c r="AD165" i="2"/>
  <c r="X163" i="2"/>
  <c r="V157" i="2"/>
  <c r="W146" i="2"/>
  <c r="AB140" i="2"/>
  <c r="W134" i="2"/>
  <c r="W110" i="2"/>
  <c r="AB99" i="2"/>
  <c r="AB89" i="2"/>
  <c r="V78" i="2"/>
  <c r="X73" i="2"/>
  <c r="V58" i="2"/>
  <c r="R185" i="2"/>
  <c r="R182" i="2"/>
  <c r="U179" i="2"/>
  <c r="T178" i="2"/>
  <c r="S177" i="2"/>
  <c r="U176" i="2"/>
  <c r="T175" i="2"/>
  <c r="V174" i="2"/>
  <c r="U173" i="2"/>
  <c r="T172" i="2"/>
  <c r="V171" i="2"/>
  <c r="U170" i="2"/>
  <c r="W169" i="2"/>
  <c r="V168" i="2"/>
  <c r="S167" i="2"/>
  <c r="AC165" i="2"/>
  <c r="Z164" i="2"/>
  <c r="W163" i="2"/>
  <c r="T162" i="2"/>
  <c r="AD160" i="2"/>
  <c r="AA159" i="2"/>
  <c r="X158" i="2"/>
  <c r="U157" i="2"/>
  <c r="R156" i="2"/>
  <c r="AA154" i="2"/>
  <c r="V153" i="2"/>
  <c r="AD151" i="2"/>
  <c r="X150" i="2"/>
  <c r="S149" i="2"/>
  <c r="AA147" i="2"/>
  <c r="V146" i="2"/>
  <c r="AC144" i="2"/>
  <c r="X143" i="2"/>
  <c r="S142" i="2"/>
  <c r="Z140" i="2"/>
  <c r="U139" i="2"/>
  <c r="AC137" i="2"/>
  <c r="X136" i="2"/>
  <c r="V134" i="2"/>
  <c r="AD131" i="2"/>
  <c r="S130" i="2"/>
  <c r="AA127" i="2"/>
  <c r="X125" i="2"/>
  <c r="Z123" i="2"/>
  <c r="U121" i="2"/>
  <c r="AC118" i="2"/>
  <c r="R117" i="2"/>
  <c r="Z114" i="2"/>
  <c r="U112" i="2"/>
  <c r="V110" i="2"/>
  <c r="Z107" i="2"/>
  <c r="AA104" i="2"/>
  <c r="W102" i="2"/>
  <c r="AA99" i="2"/>
  <c r="AB96" i="2"/>
  <c r="AA94" i="2"/>
  <c r="AB91" i="2"/>
  <c r="AC88" i="2"/>
  <c r="V86" i="2"/>
  <c r="Z81" i="2"/>
  <c r="U77" i="2"/>
  <c r="W73" i="2"/>
  <c r="Y68" i="2"/>
  <c r="AC63" i="2"/>
  <c r="AB48" i="2"/>
  <c r="X39" i="2"/>
  <c r="AB29" i="2"/>
  <c r="Y18" i="2"/>
  <c r="X185" i="2"/>
  <c r="X179" i="2"/>
  <c r="X138" i="2"/>
  <c r="AC97" i="2"/>
  <c r="AC92" i="2"/>
  <c r="W179" i="2"/>
  <c r="W173" i="2"/>
  <c r="W139" i="2"/>
  <c r="X100" i="2"/>
  <c r="V176" i="2"/>
  <c r="X172" i="2"/>
  <c r="R152" i="2"/>
  <c r="V139" i="2"/>
  <c r="AA123" i="2"/>
  <c r="AC112" i="2"/>
  <c r="W105" i="2"/>
  <c r="AB94" i="2"/>
  <c r="AB19" i="2"/>
  <c r="T15" i="2"/>
  <c r="T23" i="2"/>
  <c r="T31" i="2"/>
  <c r="T39" i="2"/>
  <c r="T47" i="2"/>
  <c r="T55" i="2"/>
  <c r="T12" i="2"/>
  <c r="T20" i="2"/>
  <c r="T28" i="2"/>
  <c r="T36" i="2"/>
  <c r="T44" i="2"/>
  <c r="T9" i="2"/>
  <c r="T17" i="2"/>
  <c r="T25" i="2"/>
  <c r="T33" i="2"/>
  <c r="T41" i="2"/>
  <c r="T49" i="2"/>
  <c r="T57" i="2"/>
  <c r="T14" i="2"/>
  <c r="T22" i="2"/>
  <c r="T30" i="2"/>
  <c r="T38" i="2"/>
  <c r="T46" i="2"/>
  <c r="T54" i="2"/>
  <c r="T19" i="2"/>
  <c r="T35" i="2"/>
  <c r="T65" i="2"/>
  <c r="T73" i="2"/>
  <c r="T81" i="2"/>
  <c r="T24" i="2"/>
  <c r="T40" i="2"/>
  <c r="T62" i="2"/>
  <c r="T70" i="2"/>
  <c r="T78" i="2"/>
  <c r="T13" i="2"/>
  <c r="T29" i="2"/>
  <c r="T45" i="2"/>
  <c r="T48" i="2"/>
  <c r="T51" i="2"/>
  <c r="T26" i="2"/>
  <c r="T60" i="2"/>
  <c r="T66" i="2"/>
  <c r="T80" i="2"/>
  <c r="T84" i="2"/>
  <c r="T90" i="2"/>
  <c r="T98" i="2"/>
  <c r="T106" i="2"/>
  <c r="T42" i="2"/>
  <c r="T67" i="2"/>
  <c r="T71" i="2"/>
  <c r="T85" i="2"/>
  <c r="T87" i="2"/>
  <c r="T95" i="2"/>
  <c r="T103" i="2"/>
  <c r="T111" i="2"/>
  <c r="T119" i="2"/>
  <c r="T127" i="2"/>
  <c r="T135" i="2"/>
  <c r="T143" i="2"/>
  <c r="T151" i="2"/>
  <c r="T10" i="2"/>
  <c r="T27" i="2"/>
  <c r="T59" i="2"/>
  <c r="T72" i="2"/>
  <c r="T76" i="2"/>
  <c r="T92" i="2"/>
  <c r="T100" i="2"/>
  <c r="T108" i="2"/>
  <c r="T116" i="2"/>
  <c r="T124" i="2"/>
  <c r="T132" i="2"/>
  <c r="T11" i="2"/>
  <c r="T21" i="2"/>
  <c r="T43" i="2"/>
  <c r="T56" i="2"/>
  <c r="T77" i="2"/>
  <c r="T50" i="2"/>
  <c r="T64" i="2"/>
  <c r="T69" i="2"/>
  <c r="T89" i="2"/>
  <c r="T118" i="2"/>
  <c r="T122" i="2"/>
  <c r="T145" i="2"/>
  <c r="T152" i="2"/>
  <c r="T161" i="2"/>
  <c r="T169" i="2"/>
  <c r="T177" i="2"/>
  <c r="T185" i="2"/>
  <c r="T16" i="2"/>
  <c r="T74" i="2"/>
  <c r="T88" i="2"/>
  <c r="T91" i="2"/>
  <c r="T94" i="2"/>
  <c r="T97" i="2"/>
  <c r="T123" i="2"/>
  <c r="T138" i="2"/>
  <c r="T150" i="2"/>
  <c r="T158" i="2"/>
  <c r="T166" i="2"/>
  <c r="T174" i="2"/>
  <c r="T182" i="2"/>
  <c r="T32" i="2"/>
  <c r="T79" i="2"/>
  <c r="T93" i="2"/>
  <c r="T96" i="2"/>
  <c r="T99" i="2"/>
  <c r="T102" i="2"/>
  <c r="T105" i="2"/>
  <c r="T114" i="2"/>
  <c r="T128" i="2"/>
  <c r="T136" i="2"/>
  <c r="T148" i="2"/>
  <c r="T155" i="2"/>
  <c r="T163" i="2"/>
  <c r="T171" i="2"/>
  <c r="T179" i="2"/>
  <c r="T37" i="2"/>
  <c r="T68" i="2"/>
  <c r="T86" i="2"/>
  <c r="T101" i="2"/>
  <c r="T104" i="2"/>
  <c r="T107" i="2"/>
  <c r="T110" i="2"/>
  <c r="T115" i="2"/>
  <c r="T129" i="2"/>
  <c r="T133" i="2"/>
  <c r="T141" i="2"/>
  <c r="T153" i="2"/>
  <c r="T160" i="2"/>
  <c r="T168" i="2"/>
  <c r="T61" i="2"/>
  <c r="T83" i="2"/>
  <c r="T109" i="2"/>
  <c r="T120" i="2"/>
  <c r="T134" i="2"/>
  <c r="AD8" i="2"/>
  <c r="S8" i="2"/>
  <c r="AC183" i="2"/>
  <c r="R183" i="2"/>
  <c r="AD181" i="2"/>
  <c r="S181" i="2"/>
  <c r="R180" i="2"/>
  <c r="AD178" i="2"/>
  <c r="S178" i="2"/>
  <c r="R177" i="2"/>
  <c r="T176" i="2"/>
  <c r="S175" i="2"/>
  <c r="R174" i="2"/>
  <c r="T173" i="2"/>
  <c r="S172" i="2"/>
  <c r="U171" i="2"/>
  <c r="T170" i="2"/>
  <c r="S169" i="2"/>
  <c r="U168" i="2"/>
  <c r="R167" i="2"/>
  <c r="AB165" i="2"/>
  <c r="Y164" i="2"/>
  <c r="V163" i="2"/>
  <c r="S162" i="2"/>
  <c r="AC160" i="2"/>
  <c r="Z159" i="2"/>
  <c r="W158" i="2"/>
  <c r="T157" i="2"/>
  <c r="AD155" i="2"/>
  <c r="Z154" i="2"/>
  <c r="U153" i="2"/>
  <c r="AC151" i="2"/>
  <c r="W150" i="2"/>
  <c r="R149" i="2"/>
  <c r="Z147" i="2"/>
  <c r="T146" i="2"/>
  <c r="AB144" i="2"/>
  <c r="W143" i="2"/>
  <c r="R142" i="2"/>
  <c r="Y140" i="2"/>
  <c r="T139" i="2"/>
  <c r="AB137" i="2"/>
  <c r="U134" i="2"/>
  <c r="X129" i="2"/>
  <c r="Z127" i="2"/>
  <c r="U125" i="2"/>
  <c r="R123" i="2"/>
  <c r="T121" i="2"/>
  <c r="AB118" i="2"/>
  <c r="W116" i="2"/>
  <c r="Y114" i="2"/>
  <c r="T112" i="2"/>
  <c r="Z109" i="2"/>
  <c r="V107" i="2"/>
  <c r="Z104" i="2"/>
  <c r="AA101" i="2"/>
  <c r="Z99" i="2"/>
  <c r="AA96" i="2"/>
  <c r="AB93" i="2"/>
  <c r="AA91" i="2"/>
  <c r="AB88" i="2"/>
  <c r="W85" i="2"/>
  <c r="Y81" i="2"/>
  <c r="AA76" i="2"/>
  <c r="V72" i="2"/>
  <c r="X68" i="2"/>
  <c r="U63" i="2"/>
  <c r="U56" i="2"/>
  <c r="U38" i="2"/>
  <c r="V27" i="2"/>
  <c r="T18" i="2"/>
  <c r="X182" i="2"/>
  <c r="X103" i="2"/>
  <c r="W182" i="2"/>
  <c r="AC159" i="2"/>
  <c r="W157" i="2"/>
  <c r="X153" i="2"/>
  <c r="X146" i="2"/>
  <c r="AB51" i="2"/>
  <c r="AD13" i="2"/>
  <c r="AD21" i="2"/>
  <c r="AD29" i="2"/>
  <c r="AD37" i="2"/>
  <c r="AD45" i="2"/>
  <c r="AD53" i="2"/>
  <c r="AD10" i="2"/>
  <c r="AD18" i="2"/>
  <c r="AD26" i="2"/>
  <c r="AD34" i="2"/>
  <c r="AD42" i="2"/>
  <c r="AD15" i="2"/>
  <c r="AD23" i="2"/>
  <c r="AD31" i="2"/>
  <c r="AD39" i="2"/>
  <c r="AD47" i="2"/>
  <c r="AD55" i="2"/>
  <c r="AD12" i="2"/>
  <c r="AD20" i="2"/>
  <c r="AD28" i="2"/>
  <c r="AD36" i="2"/>
  <c r="AD44" i="2"/>
  <c r="AD52" i="2"/>
  <c r="AD60" i="2"/>
  <c r="AD17" i="2"/>
  <c r="AD33" i="2"/>
  <c r="AD46" i="2"/>
  <c r="AD49" i="2"/>
  <c r="AD63" i="2"/>
  <c r="AD71" i="2"/>
  <c r="AD79" i="2"/>
  <c r="AD22" i="2"/>
  <c r="AD38" i="2"/>
  <c r="AD48" i="2"/>
  <c r="AD50" i="2"/>
  <c r="AD51" i="2"/>
  <c r="AD54" i="2"/>
  <c r="AD57" i="2"/>
  <c r="AD68" i="2"/>
  <c r="AD76" i="2"/>
  <c r="AD84" i="2"/>
  <c r="AD11" i="2"/>
  <c r="AD27" i="2"/>
  <c r="AD43" i="2"/>
  <c r="AD56" i="2"/>
  <c r="AD58" i="2"/>
  <c r="AD59" i="2"/>
  <c r="AD9" i="2"/>
  <c r="AD66" i="2"/>
  <c r="AD80" i="2"/>
  <c r="AD88" i="2"/>
  <c r="AD96" i="2"/>
  <c r="AD104" i="2"/>
  <c r="AD14" i="2"/>
  <c r="AD16" i="2"/>
  <c r="AD67" i="2"/>
  <c r="AD81" i="2"/>
  <c r="AD93" i="2"/>
  <c r="AD101" i="2"/>
  <c r="AD109" i="2"/>
  <c r="AD117" i="2"/>
  <c r="AD125" i="2"/>
  <c r="AD133" i="2"/>
  <c r="AD141" i="2"/>
  <c r="AD149" i="2"/>
  <c r="AD30" i="2"/>
  <c r="AD32" i="2"/>
  <c r="AD72" i="2"/>
  <c r="AD85" i="2"/>
  <c r="AD90" i="2"/>
  <c r="AD98" i="2"/>
  <c r="AD106" i="2"/>
  <c r="AD114" i="2"/>
  <c r="AD122" i="2"/>
  <c r="AD130" i="2"/>
  <c r="AD24" i="2"/>
  <c r="AD62" i="2"/>
  <c r="AD73" i="2"/>
  <c r="AD77" i="2"/>
  <c r="AD87" i="2"/>
  <c r="AD65" i="2"/>
  <c r="AD83" i="2"/>
  <c r="AD91" i="2"/>
  <c r="AD94" i="2"/>
  <c r="AD97" i="2"/>
  <c r="AD100" i="2"/>
  <c r="AD103" i="2"/>
  <c r="AD118" i="2"/>
  <c r="AD132" i="2"/>
  <c r="AD140" i="2"/>
  <c r="AD147" i="2"/>
  <c r="AD159" i="2"/>
  <c r="AD167" i="2"/>
  <c r="AD175" i="2"/>
  <c r="AD183" i="2"/>
  <c r="AD19" i="2"/>
  <c r="AD70" i="2"/>
  <c r="AD86" i="2"/>
  <c r="AD99" i="2"/>
  <c r="AD102" i="2"/>
  <c r="AD105" i="2"/>
  <c r="AD108" i="2"/>
  <c r="AD119" i="2"/>
  <c r="AD123" i="2"/>
  <c r="AD138" i="2"/>
  <c r="AD145" i="2"/>
  <c r="AD152" i="2"/>
  <c r="AD156" i="2"/>
  <c r="AD164" i="2"/>
  <c r="AD172" i="2"/>
  <c r="AD180" i="2"/>
  <c r="AD35" i="2"/>
  <c r="AD75" i="2"/>
  <c r="AD107" i="2"/>
  <c r="AD110" i="2"/>
  <c r="AD124" i="2"/>
  <c r="AD128" i="2"/>
  <c r="AD143" i="2"/>
  <c r="AD150" i="2"/>
  <c r="AD161" i="2"/>
  <c r="AD169" i="2"/>
  <c r="AD177" i="2"/>
  <c r="AD185" i="2"/>
  <c r="AD40" i="2"/>
  <c r="AD64" i="2"/>
  <c r="AD82" i="2"/>
  <c r="AD111" i="2"/>
  <c r="AD115" i="2"/>
  <c r="AD129" i="2"/>
  <c r="AD136" i="2"/>
  <c r="AD148" i="2"/>
  <c r="AD158" i="2"/>
  <c r="AD166" i="2"/>
  <c r="AD25" i="2"/>
  <c r="AD69" i="2"/>
  <c r="AD116" i="2"/>
  <c r="AD120" i="2"/>
  <c r="AD134" i="2"/>
  <c r="R161" i="2"/>
  <c r="AD137" i="2"/>
  <c r="AD127" i="2"/>
  <c r="X119" i="2"/>
  <c r="AA107" i="2"/>
  <c r="AC91" i="2"/>
  <c r="AA49" i="2"/>
  <c r="AC10" i="2"/>
  <c r="AC18" i="2"/>
  <c r="AC26" i="2"/>
  <c r="AC34" i="2"/>
  <c r="AC42" i="2"/>
  <c r="AC50" i="2"/>
  <c r="AC58" i="2"/>
  <c r="AC15" i="2"/>
  <c r="AC23" i="2"/>
  <c r="AC31" i="2"/>
  <c r="AC39" i="2"/>
  <c r="AC12" i="2"/>
  <c r="AC20" i="2"/>
  <c r="AC28" i="2"/>
  <c r="AC36" i="2"/>
  <c r="AC44" i="2"/>
  <c r="AC52" i="2"/>
  <c r="AC60" i="2"/>
  <c r="AC9" i="2"/>
  <c r="AC17" i="2"/>
  <c r="AC25" i="2"/>
  <c r="AC33" i="2"/>
  <c r="AC41" i="2"/>
  <c r="AC49" i="2"/>
  <c r="AC57" i="2"/>
  <c r="AC22" i="2"/>
  <c r="AC38" i="2"/>
  <c r="AC45" i="2"/>
  <c r="AC47" i="2"/>
  <c r="AC48" i="2"/>
  <c r="AC51" i="2"/>
  <c r="AC54" i="2"/>
  <c r="AC68" i="2"/>
  <c r="AC76" i="2"/>
  <c r="AC84" i="2"/>
  <c r="AC11" i="2"/>
  <c r="AC27" i="2"/>
  <c r="AC43" i="2"/>
  <c r="AC53" i="2"/>
  <c r="AC55" i="2"/>
  <c r="AC56" i="2"/>
  <c r="AC59" i="2"/>
  <c r="AC65" i="2"/>
  <c r="AC73" i="2"/>
  <c r="AC81" i="2"/>
  <c r="AC16" i="2"/>
  <c r="AC32" i="2"/>
  <c r="AC62" i="2"/>
  <c r="AC14" i="2"/>
  <c r="AC67" i="2"/>
  <c r="AC71" i="2"/>
  <c r="AC93" i="2"/>
  <c r="AC101" i="2"/>
  <c r="AC109" i="2"/>
  <c r="AC30" i="2"/>
  <c r="AC72" i="2"/>
  <c r="AC85" i="2"/>
  <c r="AC90" i="2"/>
  <c r="AC98" i="2"/>
  <c r="AC106" i="2"/>
  <c r="AC114" i="2"/>
  <c r="AC122" i="2"/>
  <c r="AC130" i="2"/>
  <c r="AC138" i="2"/>
  <c r="AC146" i="2"/>
  <c r="AC154" i="2"/>
  <c r="AC24" i="2"/>
  <c r="AC77" i="2"/>
  <c r="AC87" i="2"/>
  <c r="AC95" i="2"/>
  <c r="AC103" i="2"/>
  <c r="AC111" i="2"/>
  <c r="AC119" i="2"/>
  <c r="AC127" i="2"/>
  <c r="AC40" i="2"/>
  <c r="AC61" i="2"/>
  <c r="AC64" i="2"/>
  <c r="AC78" i="2"/>
  <c r="AC82" i="2"/>
  <c r="AC19" i="2"/>
  <c r="AC46" i="2"/>
  <c r="AC70" i="2"/>
  <c r="AC86" i="2"/>
  <c r="AC96" i="2"/>
  <c r="AC99" i="2"/>
  <c r="AC102" i="2"/>
  <c r="AC105" i="2"/>
  <c r="AC108" i="2"/>
  <c r="AC123" i="2"/>
  <c r="AC145" i="2"/>
  <c r="AC152" i="2"/>
  <c r="AC156" i="2"/>
  <c r="AC164" i="2"/>
  <c r="AC172" i="2"/>
  <c r="AC180" i="2"/>
  <c r="AC35" i="2"/>
  <c r="AC75" i="2"/>
  <c r="AC104" i="2"/>
  <c r="AC107" i="2"/>
  <c r="AC110" i="2"/>
  <c r="AC124" i="2"/>
  <c r="AC128" i="2"/>
  <c r="AC143" i="2"/>
  <c r="AC150" i="2"/>
  <c r="AC161" i="2"/>
  <c r="AC169" i="2"/>
  <c r="AC177" i="2"/>
  <c r="AC185" i="2"/>
  <c r="AC80" i="2"/>
  <c r="AC115" i="2"/>
  <c r="AC129" i="2"/>
  <c r="AC133" i="2"/>
  <c r="AC136" i="2"/>
  <c r="AC148" i="2"/>
  <c r="AC158" i="2"/>
  <c r="AC166" i="2"/>
  <c r="AC174" i="2"/>
  <c r="AC182" i="2"/>
  <c r="AC69" i="2"/>
  <c r="AC116" i="2"/>
  <c r="AC120" i="2"/>
  <c r="AC134" i="2"/>
  <c r="AC141" i="2"/>
  <c r="AC153" i="2"/>
  <c r="AC155" i="2"/>
  <c r="AC163" i="2"/>
  <c r="AC21" i="2"/>
  <c r="AC74" i="2"/>
  <c r="AC121" i="2"/>
  <c r="AC125" i="2"/>
  <c r="R8" i="2"/>
  <c r="T8" i="2"/>
  <c r="T184" i="2"/>
  <c r="T181" i="2"/>
  <c r="AA12" i="2"/>
  <c r="AA20" i="2"/>
  <c r="AA28" i="2"/>
  <c r="AA36" i="2"/>
  <c r="AA44" i="2"/>
  <c r="AA52" i="2"/>
  <c r="AA60" i="2"/>
  <c r="AA9" i="2"/>
  <c r="AA17" i="2"/>
  <c r="AA25" i="2"/>
  <c r="AA33" i="2"/>
  <c r="AA41" i="2"/>
  <c r="AA14" i="2"/>
  <c r="AA22" i="2"/>
  <c r="AA30" i="2"/>
  <c r="AA38" i="2"/>
  <c r="AA46" i="2"/>
  <c r="AA54" i="2"/>
  <c r="AA11" i="2"/>
  <c r="AA19" i="2"/>
  <c r="AA27" i="2"/>
  <c r="AA35" i="2"/>
  <c r="AA43" i="2"/>
  <c r="AA51" i="2"/>
  <c r="AA59" i="2"/>
  <c r="AA16" i="2"/>
  <c r="AA32" i="2"/>
  <c r="AA55" i="2"/>
  <c r="AA57" i="2"/>
  <c r="AA58" i="2"/>
  <c r="AA62" i="2"/>
  <c r="AA70" i="2"/>
  <c r="AA78" i="2"/>
  <c r="AA21" i="2"/>
  <c r="AA37" i="2"/>
  <c r="AA67" i="2"/>
  <c r="AA75" i="2"/>
  <c r="AA83" i="2"/>
  <c r="AA10" i="2"/>
  <c r="AA26" i="2"/>
  <c r="AA42" i="2"/>
  <c r="AA64" i="2"/>
  <c r="AA24" i="2"/>
  <c r="AA53" i="2"/>
  <c r="AA77" i="2"/>
  <c r="AA81" i="2"/>
  <c r="AA87" i="2"/>
  <c r="AA95" i="2"/>
  <c r="AA103" i="2"/>
  <c r="AA18" i="2"/>
  <c r="AA40" i="2"/>
  <c r="AA50" i="2"/>
  <c r="AA61" i="2"/>
  <c r="AA68" i="2"/>
  <c r="AA82" i="2"/>
  <c r="AA92" i="2"/>
  <c r="AA100" i="2"/>
  <c r="AA108" i="2"/>
  <c r="AA116" i="2"/>
  <c r="AA124" i="2"/>
  <c r="AA132" i="2"/>
  <c r="AA140" i="2"/>
  <c r="AA148" i="2"/>
  <c r="AA34" i="2"/>
  <c r="AA47" i="2"/>
  <c r="AA63" i="2"/>
  <c r="AA69" i="2"/>
  <c r="AA73" i="2"/>
  <c r="AA89" i="2"/>
  <c r="AA97" i="2"/>
  <c r="AA105" i="2"/>
  <c r="AA113" i="2"/>
  <c r="AA121" i="2"/>
  <c r="AA129" i="2"/>
  <c r="AA74" i="2"/>
  <c r="AA86" i="2"/>
  <c r="AA31" i="2"/>
  <c r="AA80" i="2"/>
  <c r="AA106" i="2"/>
  <c r="AA109" i="2"/>
  <c r="AA115" i="2"/>
  <c r="AA119" i="2"/>
  <c r="AA133" i="2"/>
  <c r="AA136" i="2"/>
  <c r="AA143" i="2"/>
  <c r="AA158" i="2"/>
  <c r="AA166" i="2"/>
  <c r="AA174" i="2"/>
  <c r="AA182" i="2"/>
  <c r="AA23" i="2"/>
  <c r="AA120" i="2"/>
  <c r="AA134" i="2"/>
  <c r="AA141" i="2"/>
  <c r="AA153" i="2"/>
  <c r="AA155" i="2"/>
  <c r="AA163" i="2"/>
  <c r="AA171" i="2"/>
  <c r="AA179" i="2"/>
  <c r="AA39" i="2"/>
  <c r="AA56" i="2"/>
  <c r="AA72" i="2"/>
  <c r="AA85" i="2"/>
  <c r="AA111" i="2"/>
  <c r="AA125" i="2"/>
  <c r="AA139" i="2"/>
  <c r="AA146" i="2"/>
  <c r="AA160" i="2"/>
  <c r="AA168" i="2"/>
  <c r="AA176" i="2"/>
  <c r="AA184" i="2"/>
  <c r="AA13" i="2"/>
  <c r="AA79" i="2"/>
  <c r="AA112" i="2"/>
  <c r="AA126" i="2"/>
  <c r="AA130" i="2"/>
  <c r="AA137" i="2"/>
  <c r="AA144" i="2"/>
  <c r="AA151" i="2"/>
  <c r="AA157" i="2"/>
  <c r="AA165" i="2"/>
  <c r="AA29" i="2"/>
  <c r="AA66" i="2"/>
  <c r="AA84" i="2"/>
  <c r="AA117" i="2"/>
  <c r="AA131" i="2"/>
  <c r="AC8" i="2"/>
  <c r="AA185" i="2"/>
  <c r="AC184" i="2"/>
  <c r="AB183" i="2"/>
  <c r="AD182" i="2"/>
  <c r="AC181" i="2"/>
  <c r="AB180" i="2"/>
  <c r="AD179" i="2"/>
  <c r="AC178" i="2"/>
  <c r="R178" i="2"/>
  <c r="AD176" i="2"/>
  <c r="AC175" i="2"/>
  <c r="R175" i="2"/>
  <c r="AD173" i="2"/>
  <c r="S173" i="2"/>
  <c r="R172" i="2"/>
  <c r="AD170" i="2"/>
  <c r="S170" i="2"/>
  <c r="R169" i="2"/>
  <c r="AC167" i="2"/>
  <c r="Z166" i="2"/>
  <c r="W165" i="2"/>
  <c r="T164" i="2"/>
  <c r="AD162" i="2"/>
  <c r="AA161" i="2"/>
  <c r="X160" i="2"/>
  <c r="U159" i="2"/>
  <c r="R158" i="2"/>
  <c r="AB156" i="2"/>
  <c r="Y155" i="2"/>
  <c r="T154" i="2"/>
  <c r="AB152" i="2"/>
  <c r="W151" i="2"/>
  <c r="R150" i="2"/>
  <c r="Y148" i="2"/>
  <c r="T147" i="2"/>
  <c r="AB145" i="2"/>
  <c r="V144" i="2"/>
  <c r="AD142" i="2"/>
  <c r="Y141" i="2"/>
  <c r="T140" i="2"/>
  <c r="AA138" i="2"/>
  <c r="V137" i="2"/>
  <c r="AC135" i="2"/>
  <c r="Z133" i="2"/>
  <c r="AB131" i="2"/>
  <c r="W129" i="2"/>
  <c r="R127" i="2"/>
  <c r="T125" i="2"/>
  <c r="AB122" i="2"/>
  <c r="Y120" i="2"/>
  <c r="AA118" i="2"/>
  <c r="V116" i="2"/>
  <c r="AD113" i="2"/>
  <c r="S112" i="2"/>
  <c r="Y109" i="2"/>
  <c r="Z106" i="2"/>
  <c r="Y104" i="2"/>
  <c r="Z101" i="2"/>
  <c r="AA98" i="2"/>
  <c r="Z96" i="2"/>
  <c r="AA93" i="2"/>
  <c r="R91" i="2"/>
  <c r="AA88" i="2"/>
  <c r="R85" i="2"/>
  <c r="X80" i="2"/>
  <c r="Z76" i="2"/>
  <c r="W67" i="2"/>
  <c r="T63" i="2"/>
  <c r="Z46" i="2"/>
  <c r="AC37" i="2"/>
  <c r="AA15" i="2"/>
  <c r="X176" i="2"/>
  <c r="X108" i="2"/>
  <c r="X180" i="2"/>
  <c r="X177" i="2"/>
  <c r="X174" i="2"/>
  <c r="X171" i="2"/>
  <c r="X168" i="2"/>
  <c r="AB164" i="2"/>
  <c r="AC147" i="2"/>
  <c r="AC140" i="2"/>
  <c r="R135" i="2"/>
  <c r="W108" i="2"/>
  <c r="AC89" i="2"/>
  <c r="W78" i="2"/>
  <c r="R74" i="2"/>
  <c r="R70" i="2"/>
  <c r="V182" i="2"/>
  <c r="X169" i="2"/>
  <c r="W153" i="2"/>
  <c r="AB147" i="2"/>
  <c r="V121" i="2"/>
  <c r="AD41" i="2"/>
  <c r="U10" i="2"/>
  <c r="U18" i="2"/>
  <c r="U26" i="2"/>
  <c r="U34" i="2"/>
  <c r="U42" i="2"/>
  <c r="U50" i="2"/>
  <c r="U58" i="2"/>
  <c r="U15" i="2"/>
  <c r="U23" i="2"/>
  <c r="U31" i="2"/>
  <c r="U39" i="2"/>
  <c r="U12" i="2"/>
  <c r="U20" i="2"/>
  <c r="U28" i="2"/>
  <c r="U36" i="2"/>
  <c r="U44" i="2"/>
  <c r="U52" i="2"/>
  <c r="U60" i="2"/>
  <c r="U9" i="2"/>
  <c r="U17" i="2"/>
  <c r="U25" i="2"/>
  <c r="U33" i="2"/>
  <c r="U41" i="2"/>
  <c r="U49" i="2"/>
  <c r="U57" i="2"/>
  <c r="U14" i="2"/>
  <c r="U30" i="2"/>
  <c r="U68" i="2"/>
  <c r="U76" i="2"/>
  <c r="U84" i="2"/>
  <c r="U19" i="2"/>
  <c r="U35" i="2"/>
  <c r="U65" i="2"/>
  <c r="U73" i="2"/>
  <c r="U81" i="2"/>
  <c r="U24" i="2"/>
  <c r="U40" i="2"/>
  <c r="U46" i="2"/>
  <c r="U62" i="2"/>
  <c r="U13" i="2"/>
  <c r="U32" i="2"/>
  <c r="U75" i="2"/>
  <c r="U79" i="2"/>
  <c r="U93" i="2"/>
  <c r="U101" i="2"/>
  <c r="U109" i="2"/>
  <c r="U54" i="2"/>
  <c r="U66" i="2"/>
  <c r="U80" i="2"/>
  <c r="U90" i="2"/>
  <c r="U98" i="2"/>
  <c r="U106" i="2"/>
  <c r="U114" i="2"/>
  <c r="U122" i="2"/>
  <c r="U130" i="2"/>
  <c r="U138" i="2"/>
  <c r="U146" i="2"/>
  <c r="U154" i="2"/>
  <c r="U51" i="2"/>
  <c r="U67" i="2"/>
  <c r="U71" i="2"/>
  <c r="U85" i="2"/>
  <c r="U87" i="2"/>
  <c r="U95" i="2"/>
  <c r="U103" i="2"/>
  <c r="U111" i="2"/>
  <c r="U119" i="2"/>
  <c r="U127" i="2"/>
  <c r="U27" i="2"/>
  <c r="U29" i="2"/>
  <c r="U48" i="2"/>
  <c r="U59" i="2"/>
  <c r="U72" i="2"/>
  <c r="U11" i="2"/>
  <c r="U53" i="2"/>
  <c r="U82" i="2"/>
  <c r="U113" i="2"/>
  <c r="U117" i="2"/>
  <c r="U131" i="2"/>
  <c r="U140" i="2"/>
  <c r="U147" i="2"/>
  <c r="U156" i="2"/>
  <c r="U164" i="2"/>
  <c r="U172" i="2"/>
  <c r="U180" i="2"/>
  <c r="U47" i="2"/>
  <c r="U64" i="2"/>
  <c r="U69" i="2"/>
  <c r="U89" i="2"/>
  <c r="U92" i="2"/>
  <c r="U118" i="2"/>
  <c r="U132" i="2"/>
  <c r="U145" i="2"/>
  <c r="U152" i="2"/>
  <c r="U161" i="2"/>
  <c r="U169" i="2"/>
  <c r="U177" i="2"/>
  <c r="U185" i="2"/>
  <c r="U16" i="2"/>
  <c r="U74" i="2"/>
  <c r="U88" i="2"/>
  <c r="U91" i="2"/>
  <c r="U94" i="2"/>
  <c r="U97" i="2"/>
  <c r="U100" i="2"/>
  <c r="U123" i="2"/>
  <c r="U143" i="2"/>
  <c r="U150" i="2"/>
  <c r="U158" i="2"/>
  <c r="U166" i="2"/>
  <c r="U174" i="2"/>
  <c r="U182" i="2"/>
  <c r="U21" i="2"/>
  <c r="U45" i="2"/>
  <c r="U96" i="2"/>
  <c r="U99" i="2"/>
  <c r="U102" i="2"/>
  <c r="U105" i="2"/>
  <c r="U108" i="2"/>
  <c r="U124" i="2"/>
  <c r="U128" i="2"/>
  <c r="U136" i="2"/>
  <c r="U148" i="2"/>
  <c r="U155" i="2"/>
  <c r="U163" i="2"/>
  <c r="U37" i="2"/>
  <c r="U78" i="2"/>
  <c r="U86" i="2"/>
  <c r="U104" i="2"/>
  <c r="U107" i="2"/>
  <c r="U110" i="2"/>
  <c r="U115" i="2"/>
  <c r="U129" i="2"/>
  <c r="U133" i="2"/>
  <c r="AB15" i="2"/>
  <c r="AB23" i="2"/>
  <c r="AB31" i="2"/>
  <c r="AB39" i="2"/>
  <c r="AB47" i="2"/>
  <c r="AB55" i="2"/>
  <c r="AB12" i="2"/>
  <c r="AB20" i="2"/>
  <c r="AB28" i="2"/>
  <c r="AB36" i="2"/>
  <c r="AB44" i="2"/>
  <c r="AB9" i="2"/>
  <c r="AB17" i="2"/>
  <c r="AB25" i="2"/>
  <c r="AB33" i="2"/>
  <c r="AB41" i="2"/>
  <c r="AB49" i="2"/>
  <c r="AB57" i="2"/>
  <c r="AB14" i="2"/>
  <c r="AB22" i="2"/>
  <c r="AB30" i="2"/>
  <c r="AB38" i="2"/>
  <c r="AB46" i="2"/>
  <c r="AB54" i="2"/>
  <c r="AB11" i="2"/>
  <c r="AB27" i="2"/>
  <c r="AB43" i="2"/>
  <c r="AB50" i="2"/>
  <c r="AB52" i="2"/>
  <c r="AB53" i="2"/>
  <c r="AB56" i="2"/>
  <c r="AB59" i="2"/>
  <c r="AB65" i="2"/>
  <c r="AB73" i="2"/>
  <c r="AB81" i="2"/>
  <c r="AB16" i="2"/>
  <c r="AB32" i="2"/>
  <c r="AB58" i="2"/>
  <c r="AB60" i="2"/>
  <c r="AB62" i="2"/>
  <c r="AB70" i="2"/>
  <c r="AB78" i="2"/>
  <c r="AB21" i="2"/>
  <c r="AB37" i="2"/>
  <c r="AB10" i="2"/>
  <c r="AB45" i="2"/>
  <c r="AB72" i="2"/>
  <c r="AB76" i="2"/>
  <c r="AB85" i="2"/>
  <c r="AB90" i="2"/>
  <c r="AB98" i="2"/>
  <c r="AB106" i="2"/>
  <c r="AB24" i="2"/>
  <c r="AB26" i="2"/>
  <c r="AB77" i="2"/>
  <c r="AB87" i="2"/>
  <c r="AB95" i="2"/>
  <c r="AB103" i="2"/>
  <c r="AB111" i="2"/>
  <c r="AB119" i="2"/>
  <c r="AB127" i="2"/>
  <c r="AB135" i="2"/>
  <c r="AB143" i="2"/>
  <c r="AB151" i="2"/>
  <c r="AB18" i="2"/>
  <c r="AB40" i="2"/>
  <c r="AB42" i="2"/>
  <c r="AB61" i="2"/>
  <c r="AB64" i="2"/>
  <c r="AB68" i="2"/>
  <c r="AB82" i="2"/>
  <c r="AB92" i="2"/>
  <c r="AB100" i="2"/>
  <c r="AB108" i="2"/>
  <c r="AB116" i="2"/>
  <c r="AB124" i="2"/>
  <c r="AB132" i="2"/>
  <c r="AB34" i="2"/>
  <c r="AB63" i="2"/>
  <c r="AB69" i="2"/>
  <c r="AB83" i="2"/>
  <c r="AB35" i="2"/>
  <c r="AB75" i="2"/>
  <c r="AB101" i="2"/>
  <c r="AB104" i="2"/>
  <c r="AB107" i="2"/>
  <c r="AB110" i="2"/>
  <c r="AB114" i="2"/>
  <c r="AB128" i="2"/>
  <c r="AB138" i="2"/>
  <c r="AB150" i="2"/>
  <c r="AB161" i="2"/>
  <c r="AB169" i="2"/>
  <c r="AB177" i="2"/>
  <c r="AB185" i="2"/>
  <c r="AB80" i="2"/>
  <c r="AB109" i="2"/>
  <c r="AB115" i="2"/>
  <c r="AB129" i="2"/>
  <c r="AB133" i="2"/>
  <c r="AB136" i="2"/>
  <c r="AB148" i="2"/>
  <c r="AB158" i="2"/>
  <c r="AB166" i="2"/>
  <c r="AB174" i="2"/>
  <c r="AB182" i="2"/>
  <c r="AB67" i="2"/>
  <c r="AB120" i="2"/>
  <c r="AB134" i="2"/>
  <c r="AB141" i="2"/>
  <c r="AB153" i="2"/>
  <c r="AB155" i="2"/>
  <c r="AB163" i="2"/>
  <c r="AB171" i="2"/>
  <c r="AB179" i="2"/>
  <c r="AB74" i="2"/>
  <c r="AB121" i="2"/>
  <c r="AB125" i="2"/>
  <c r="AB139" i="2"/>
  <c r="AB146" i="2"/>
  <c r="AB160" i="2"/>
  <c r="AB13" i="2"/>
  <c r="AB79" i="2"/>
  <c r="AB112" i="2"/>
  <c r="AB126" i="2"/>
  <c r="AB130" i="2"/>
  <c r="S12" i="2"/>
  <c r="S20" i="2"/>
  <c r="S28" i="2"/>
  <c r="S36" i="2"/>
  <c r="S44" i="2"/>
  <c r="S52" i="2"/>
  <c r="S60" i="2"/>
  <c r="S9" i="2"/>
  <c r="S17" i="2"/>
  <c r="S25" i="2"/>
  <c r="S33" i="2"/>
  <c r="S41" i="2"/>
  <c r="S14" i="2"/>
  <c r="S22" i="2"/>
  <c r="S30" i="2"/>
  <c r="S38" i="2"/>
  <c r="S46" i="2"/>
  <c r="S54" i="2"/>
  <c r="S11" i="2"/>
  <c r="S19" i="2"/>
  <c r="S27" i="2"/>
  <c r="S35" i="2"/>
  <c r="S43" i="2"/>
  <c r="S51" i="2"/>
  <c r="S59" i="2"/>
  <c r="S24" i="2"/>
  <c r="S40" i="2"/>
  <c r="S62" i="2"/>
  <c r="S70" i="2"/>
  <c r="S78" i="2"/>
  <c r="S86" i="2"/>
  <c r="S13" i="2"/>
  <c r="S29" i="2"/>
  <c r="S45" i="2"/>
  <c r="S48" i="2"/>
  <c r="S67" i="2"/>
  <c r="S75" i="2"/>
  <c r="S83" i="2"/>
  <c r="S18" i="2"/>
  <c r="S34" i="2"/>
  <c r="S47" i="2"/>
  <c r="S49" i="2"/>
  <c r="S50" i="2"/>
  <c r="S53" i="2"/>
  <c r="S56" i="2"/>
  <c r="S64" i="2"/>
  <c r="S42" i="2"/>
  <c r="S57" i="2"/>
  <c r="S71" i="2"/>
  <c r="S85" i="2"/>
  <c r="S87" i="2"/>
  <c r="S95" i="2"/>
  <c r="S103" i="2"/>
  <c r="S10" i="2"/>
  <c r="S72" i="2"/>
  <c r="S76" i="2"/>
  <c r="S92" i="2"/>
  <c r="S100" i="2"/>
  <c r="S108" i="2"/>
  <c r="S116" i="2"/>
  <c r="S124" i="2"/>
  <c r="S132" i="2"/>
  <c r="S140" i="2"/>
  <c r="S148" i="2"/>
  <c r="S21" i="2"/>
  <c r="S23" i="2"/>
  <c r="S77" i="2"/>
  <c r="S81" i="2"/>
  <c r="S89" i="2"/>
  <c r="S97" i="2"/>
  <c r="S105" i="2"/>
  <c r="S113" i="2"/>
  <c r="S121" i="2"/>
  <c r="S129" i="2"/>
  <c r="S15" i="2"/>
  <c r="S37" i="2"/>
  <c r="S39" i="2"/>
  <c r="S68" i="2"/>
  <c r="S82" i="2"/>
  <c r="S16" i="2"/>
  <c r="S74" i="2"/>
  <c r="S88" i="2"/>
  <c r="S91" i="2"/>
  <c r="S94" i="2"/>
  <c r="S123" i="2"/>
  <c r="S127" i="2"/>
  <c r="S138" i="2"/>
  <c r="S150" i="2"/>
  <c r="S158" i="2"/>
  <c r="S166" i="2"/>
  <c r="S174" i="2"/>
  <c r="S182" i="2"/>
  <c r="S32" i="2"/>
  <c r="S79" i="2"/>
  <c r="S90" i="2"/>
  <c r="S93" i="2"/>
  <c r="S96" i="2"/>
  <c r="S99" i="2"/>
  <c r="S102" i="2"/>
  <c r="S114" i="2"/>
  <c r="S128" i="2"/>
  <c r="S136" i="2"/>
  <c r="S143" i="2"/>
  <c r="S155" i="2"/>
  <c r="S163" i="2"/>
  <c r="S171" i="2"/>
  <c r="S179" i="2"/>
  <c r="S66" i="2"/>
  <c r="S84" i="2"/>
  <c r="S98" i="2"/>
  <c r="S101" i="2"/>
  <c r="S104" i="2"/>
  <c r="S107" i="2"/>
  <c r="S110" i="2"/>
  <c r="S115" i="2"/>
  <c r="S119" i="2"/>
  <c r="S133" i="2"/>
  <c r="S141" i="2"/>
  <c r="S153" i="2"/>
  <c r="S160" i="2"/>
  <c r="S168" i="2"/>
  <c r="S176" i="2"/>
  <c r="S184" i="2"/>
  <c r="S61" i="2"/>
  <c r="S73" i="2"/>
  <c r="S106" i="2"/>
  <c r="S109" i="2"/>
  <c r="S120" i="2"/>
  <c r="S134" i="2"/>
  <c r="S139" i="2"/>
  <c r="S146" i="2"/>
  <c r="S157" i="2"/>
  <c r="S165" i="2"/>
  <c r="S58" i="2"/>
  <c r="S63" i="2"/>
  <c r="S111" i="2"/>
  <c r="S125" i="2"/>
  <c r="AB8" i="2"/>
  <c r="Z185" i="2"/>
  <c r="AB184" i="2"/>
  <c r="AA183" i="2"/>
  <c r="Z182" i="2"/>
  <c r="AB181" i="2"/>
  <c r="AA180" i="2"/>
  <c r="AC179" i="2"/>
  <c r="AB178" i="2"/>
  <c r="AA177" i="2"/>
  <c r="AC176" i="2"/>
  <c r="AB175" i="2"/>
  <c r="AD174" i="2"/>
  <c r="AC173" i="2"/>
  <c r="AB172" i="2"/>
  <c r="AD171" i="2"/>
  <c r="AC170" i="2"/>
  <c r="R170" i="2"/>
  <c r="AD168" i="2"/>
  <c r="AB167" i="2"/>
  <c r="Y166" i="2"/>
  <c r="V165" i="2"/>
  <c r="S164" i="2"/>
  <c r="AC162" i="2"/>
  <c r="Z161" i="2"/>
  <c r="W160" i="2"/>
  <c r="T159" i="2"/>
  <c r="AD157" i="2"/>
  <c r="AA156" i="2"/>
  <c r="X155" i="2"/>
  <c r="S154" i="2"/>
  <c r="AA152" i="2"/>
  <c r="V151" i="2"/>
  <c r="AC149" i="2"/>
  <c r="X148" i="2"/>
  <c r="S147" i="2"/>
  <c r="AA145" i="2"/>
  <c r="U144" i="2"/>
  <c r="AC142" i="2"/>
  <c r="X141" i="2"/>
  <c r="R140" i="2"/>
  <c r="Z138" i="2"/>
  <c r="U137" i="2"/>
  <c r="AA135" i="2"/>
  <c r="Y133" i="2"/>
  <c r="T131" i="2"/>
  <c r="V129" i="2"/>
  <c r="AD126" i="2"/>
  <c r="Y124" i="2"/>
  <c r="AA122" i="2"/>
  <c r="V120" i="2"/>
  <c r="S118" i="2"/>
  <c r="U116" i="2"/>
  <c r="AC113" i="2"/>
  <c r="X111" i="2"/>
  <c r="X109" i="2"/>
  <c r="Y106" i="2"/>
  <c r="Z103" i="2"/>
  <c r="Y101" i="2"/>
  <c r="Z98" i="2"/>
  <c r="AD95" i="2"/>
  <c r="AA90" i="2"/>
  <c r="R88" i="2"/>
  <c r="AB84" i="2"/>
  <c r="S80" i="2"/>
  <c r="AA71" i="2"/>
  <c r="AC66" i="2"/>
  <c r="AD61" i="2"/>
  <c r="S55" i="2"/>
  <c r="AA45" i="2"/>
  <c r="R26" i="2"/>
  <c r="X11" i="2"/>
  <c r="X19" i="2"/>
  <c r="X27" i="2"/>
  <c r="X35" i="2"/>
  <c r="X43" i="2"/>
  <c r="X51" i="2"/>
  <c r="X59" i="2"/>
  <c r="X16" i="2"/>
  <c r="X24" i="2"/>
  <c r="X32" i="2"/>
  <c r="X40" i="2"/>
  <c r="X13" i="2"/>
  <c r="X21" i="2"/>
  <c r="X29" i="2"/>
  <c r="X37" i="2"/>
  <c r="X45" i="2"/>
  <c r="X53" i="2"/>
  <c r="X10" i="2"/>
  <c r="X18" i="2"/>
  <c r="X26" i="2"/>
  <c r="X34" i="2"/>
  <c r="X42" i="2"/>
  <c r="X50" i="2"/>
  <c r="X58" i="2"/>
  <c r="X15" i="2"/>
  <c r="X31" i="2"/>
  <c r="X61" i="2"/>
  <c r="X69" i="2"/>
  <c r="X77" i="2"/>
  <c r="X85" i="2"/>
  <c r="X20" i="2"/>
  <c r="X36" i="2"/>
  <c r="X66" i="2"/>
  <c r="X74" i="2"/>
  <c r="X82" i="2"/>
  <c r="X9" i="2"/>
  <c r="X25" i="2"/>
  <c r="X41" i="2"/>
  <c r="X63" i="2"/>
  <c r="X12" i="2"/>
  <c r="X28" i="2"/>
  <c r="X30" i="2"/>
  <c r="X55" i="2"/>
  <c r="X62" i="2"/>
  <c r="X78" i="2"/>
  <c r="X86" i="2"/>
  <c r="X94" i="2"/>
  <c r="X102" i="2"/>
  <c r="X110" i="2"/>
  <c r="X22" i="2"/>
  <c r="X44" i="2"/>
  <c r="X52" i="2"/>
  <c r="X64" i="2"/>
  <c r="X65" i="2"/>
  <c r="X79" i="2"/>
  <c r="X83" i="2"/>
  <c r="X91" i="2"/>
  <c r="X99" i="2"/>
  <c r="X107" i="2"/>
  <c r="X115" i="2"/>
  <c r="X123" i="2"/>
  <c r="X131" i="2"/>
  <c r="X139" i="2"/>
  <c r="X147" i="2"/>
  <c r="X38" i="2"/>
  <c r="X49" i="2"/>
  <c r="X60" i="2"/>
  <c r="X70" i="2"/>
  <c r="X84" i="2"/>
  <c r="X88" i="2"/>
  <c r="X96" i="2"/>
  <c r="X104" i="2"/>
  <c r="X112" i="2"/>
  <c r="X120" i="2"/>
  <c r="X128" i="2"/>
  <c r="X23" i="2"/>
  <c r="X46" i="2"/>
  <c r="X57" i="2"/>
  <c r="X71" i="2"/>
  <c r="X75" i="2"/>
  <c r="X67" i="2"/>
  <c r="X116" i="2"/>
  <c r="X130" i="2"/>
  <c r="X134" i="2"/>
  <c r="X144" i="2"/>
  <c r="X151" i="2"/>
  <c r="X157" i="2"/>
  <c r="X165" i="2"/>
  <c r="X173" i="2"/>
  <c r="X181" i="2"/>
  <c r="X8" i="2"/>
  <c r="X56" i="2"/>
  <c r="X72" i="2"/>
  <c r="X117" i="2"/>
  <c r="X121" i="2"/>
  <c r="X137" i="2"/>
  <c r="X149" i="2"/>
  <c r="X162" i="2"/>
  <c r="X170" i="2"/>
  <c r="X178" i="2"/>
  <c r="X47" i="2"/>
  <c r="X122" i="2"/>
  <c r="X126" i="2"/>
  <c r="X135" i="2"/>
  <c r="X142" i="2"/>
  <c r="X154" i="2"/>
  <c r="X159" i="2"/>
  <c r="X167" i="2"/>
  <c r="X175" i="2"/>
  <c r="X183" i="2"/>
  <c r="X17" i="2"/>
  <c r="X54" i="2"/>
  <c r="X76" i="2"/>
  <c r="X90" i="2"/>
  <c r="X93" i="2"/>
  <c r="X113" i="2"/>
  <c r="X127" i="2"/>
  <c r="X140" i="2"/>
  <c r="X152" i="2"/>
  <c r="X156" i="2"/>
  <c r="X164" i="2"/>
  <c r="X33" i="2"/>
  <c r="X48" i="2"/>
  <c r="X81" i="2"/>
  <c r="X87" i="2"/>
  <c r="X89" i="2"/>
  <c r="X92" i="2"/>
  <c r="X95" i="2"/>
  <c r="X98" i="2"/>
  <c r="X101" i="2"/>
  <c r="X114" i="2"/>
  <c r="X118" i="2"/>
  <c r="X132" i="2"/>
  <c r="X161" i="2"/>
  <c r="W16" i="2"/>
  <c r="W24" i="2"/>
  <c r="W32" i="2"/>
  <c r="W40" i="2"/>
  <c r="W48" i="2"/>
  <c r="W56" i="2"/>
  <c r="W13" i="2"/>
  <c r="W21" i="2"/>
  <c r="W29" i="2"/>
  <c r="W37" i="2"/>
  <c r="W10" i="2"/>
  <c r="W18" i="2"/>
  <c r="W26" i="2"/>
  <c r="W34" i="2"/>
  <c r="W42" i="2"/>
  <c r="W50" i="2"/>
  <c r="W58" i="2"/>
  <c r="W15" i="2"/>
  <c r="W23" i="2"/>
  <c r="W31" i="2"/>
  <c r="W39" i="2"/>
  <c r="W47" i="2"/>
  <c r="W55" i="2"/>
  <c r="W20" i="2"/>
  <c r="W36" i="2"/>
  <c r="W66" i="2"/>
  <c r="W74" i="2"/>
  <c r="W82" i="2"/>
  <c r="W9" i="2"/>
  <c r="W25" i="2"/>
  <c r="W41" i="2"/>
  <c r="W63" i="2"/>
  <c r="W71" i="2"/>
  <c r="W79" i="2"/>
  <c r="W14" i="2"/>
  <c r="W30" i="2"/>
  <c r="W22" i="2"/>
  <c r="W44" i="2"/>
  <c r="W52" i="2"/>
  <c r="W61" i="2"/>
  <c r="W64" i="2"/>
  <c r="W65" i="2"/>
  <c r="W69" i="2"/>
  <c r="W83" i="2"/>
  <c r="W91" i="2"/>
  <c r="W99" i="2"/>
  <c r="W107" i="2"/>
  <c r="W38" i="2"/>
  <c r="W49" i="2"/>
  <c r="W60" i="2"/>
  <c r="W70" i="2"/>
  <c r="W84" i="2"/>
  <c r="W88" i="2"/>
  <c r="W96" i="2"/>
  <c r="W104" i="2"/>
  <c r="W112" i="2"/>
  <c r="W120" i="2"/>
  <c r="W128" i="2"/>
  <c r="W136" i="2"/>
  <c r="W144" i="2"/>
  <c r="W152" i="2"/>
  <c r="W46" i="2"/>
  <c r="W57" i="2"/>
  <c r="W75" i="2"/>
  <c r="W93" i="2"/>
  <c r="W101" i="2"/>
  <c r="W109" i="2"/>
  <c r="W117" i="2"/>
  <c r="W125" i="2"/>
  <c r="W133" i="2"/>
  <c r="W17" i="2"/>
  <c r="W19" i="2"/>
  <c r="W54" i="2"/>
  <c r="W76" i="2"/>
  <c r="W80" i="2"/>
  <c r="W11" i="2"/>
  <c r="W27" i="2"/>
  <c r="W59" i="2"/>
  <c r="W72" i="2"/>
  <c r="W121" i="2"/>
  <c r="W137" i="2"/>
  <c r="W149" i="2"/>
  <c r="W162" i="2"/>
  <c r="W170" i="2"/>
  <c r="W178" i="2"/>
  <c r="W43" i="2"/>
  <c r="W53" i="2"/>
  <c r="W77" i="2"/>
  <c r="W122" i="2"/>
  <c r="W126" i="2"/>
  <c r="W135" i="2"/>
  <c r="W142" i="2"/>
  <c r="W154" i="2"/>
  <c r="W159" i="2"/>
  <c r="W167" i="2"/>
  <c r="W175" i="2"/>
  <c r="W183" i="2"/>
  <c r="W12" i="2"/>
  <c r="W28" i="2"/>
  <c r="W62" i="2"/>
  <c r="W90" i="2"/>
  <c r="W113" i="2"/>
  <c r="W127" i="2"/>
  <c r="W131" i="2"/>
  <c r="W140" i="2"/>
  <c r="W147" i="2"/>
  <c r="W156" i="2"/>
  <c r="W164" i="2"/>
  <c r="W172" i="2"/>
  <c r="W180" i="2"/>
  <c r="W33" i="2"/>
  <c r="W51" i="2"/>
  <c r="W81" i="2"/>
  <c r="W87" i="2"/>
  <c r="W89" i="2"/>
  <c r="W92" i="2"/>
  <c r="W95" i="2"/>
  <c r="W98" i="2"/>
  <c r="W114" i="2"/>
  <c r="W118" i="2"/>
  <c r="W132" i="2"/>
  <c r="W138" i="2"/>
  <c r="W145" i="2"/>
  <c r="W161" i="2"/>
  <c r="W45" i="2"/>
  <c r="W68" i="2"/>
  <c r="W94" i="2"/>
  <c r="W97" i="2"/>
  <c r="W100" i="2"/>
  <c r="W103" i="2"/>
  <c r="W106" i="2"/>
  <c r="W119" i="2"/>
  <c r="W123" i="2"/>
  <c r="W185" i="2"/>
  <c r="R166" i="2"/>
  <c r="AB102" i="2"/>
  <c r="V179" i="2"/>
  <c r="W174" i="2"/>
  <c r="V170" i="2"/>
  <c r="AA164" i="2"/>
  <c r="AB159" i="2"/>
  <c r="AD144" i="2"/>
  <c r="AA114" i="2"/>
  <c r="X97" i="2"/>
  <c r="W86" i="2"/>
  <c r="AD184" i="2"/>
  <c r="Z9" i="2"/>
  <c r="Z17" i="2"/>
  <c r="Z25" i="2"/>
  <c r="Z33" i="2"/>
  <c r="Z41" i="2"/>
  <c r="Z49" i="2"/>
  <c r="Z57" i="2"/>
  <c r="Z14" i="2"/>
  <c r="Z22" i="2"/>
  <c r="Z30" i="2"/>
  <c r="Z38" i="2"/>
  <c r="Z11" i="2"/>
  <c r="Z19" i="2"/>
  <c r="Z27" i="2"/>
  <c r="Z35" i="2"/>
  <c r="Z43" i="2"/>
  <c r="Z51" i="2"/>
  <c r="Z59" i="2"/>
  <c r="Z16" i="2"/>
  <c r="Z24" i="2"/>
  <c r="Z32" i="2"/>
  <c r="Z40" i="2"/>
  <c r="Z48" i="2"/>
  <c r="Z56" i="2"/>
  <c r="Z21" i="2"/>
  <c r="Z37" i="2"/>
  <c r="Z60" i="2"/>
  <c r="Z67" i="2"/>
  <c r="Z75" i="2"/>
  <c r="Z83" i="2"/>
  <c r="Z10" i="2"/>
  <c r="Z26" i="2"/>
  <c r="Z42" i="2"/>
  <c r="Z64" i="2"/>
  <c r="Z72" i="2"/>
  <c r="Z80" i="2"/>
  <c r="Z15" i="2"/>
  <c r="Z31" i="2"/>
  <c r="Z61" i="2"/>
  <c r="Z18" i="2"/>
  <c r="Z20" i="2"/>
  <c r="Z50" i="2"/>
  <c r="Z68" i="2"/>
  <c r="Z82" i="2"/>
  <c r="Z92" i="2"/>
  <c r="Z100" i="2"/>
  <c r="Z108" i="2"/>
  <c r="Z34" i="2"/>
  <c r="Z36" i="2"/>
  <c r="Z47" i="2"/>
  <c r="Z58" i="2"/>
  <c r="Z63" i="2"/>
  <c r="Z69" i="2"/>
  <c r="Z73" i="2"/>
  <c r="Z89" i="2"/>
  <c r="Z97" i="2"/>
  <c r="Z105" i="2"/>
  <c r="Z113" i="2"/>
  <c r="Z121" i="2"/>
  <c r="Z129" i="2"/>
  <c r="Z137" i="2"/>
  <c r="Z145" i="2"/>
  <c r="Z153" i="2"/>
  <c r="Z12" i="2"/>
  <c r="Z28" i="2"/>
  <c r="Z55" i="2"/>
  <c r="Z62" i="2"/>
  <c r="Z74" i="2"/>
  <c r="Z78" i="2"/>
  <c r="Z86" i="2"/>
  <c r="Z94" i="2"/>
  <c r="Z102" i="2"/>
  <c r="Z110" i="2"/>
  <c r="Z118" i="2"/>
  <c r="Z126" i="2"/>
  <c r="Z134" i="2"/>
  <c r="Z13" i="2"/>
  <c r="Z44" i="2"/>
  <c r="Z52" i="2"/>
  <c r="Z65" i="2"/>
  <c r="Z79" i="2"/>
  <c r="Z23" i="2"/>
  <c r="Z120" i="2"/>
  <c r="Z124" i="2"/>
  <c r="Z141" i="2"/>
  <c r="Z148" i="2"/>
  <c r="Z155" i="2"/>
  <c r="Z163" i="2"/>
  <c r="Z171" i="2"/>
  <c r="Z179" i="2"/>
  <c r="Z39" i="2"/>
  <c r="Z85" i="2"/>
  <c r="Z111" i="2"/>
  <c r="Z125" i="2"/>
  <c r="Z139" i="2"/>
  <c r="Z146" i="2"/>
  <c r="Z160" i="2"/>
  <c r="Z168" i="2"/>
  <c r="Z176" i="2"/>
  <c r="Z184" i="2"/>
  <c r="Z53" i="2"/>
  <c r="Z77" i="2"/>
  <c r="Z112" i="2"/>
  <c r="Z116" i="2"/>
  <c r="Z130" i="2"/>
  <c r="Z144" i="2"/>
  <c r="Z151" i="2"/>
  <c r="Z157" i="2"/>
  <c r="Z165" i="2"/>
  <c r="Z173" i="2"/>
  <c r="Z181" i="2"/>
  <c r="Z8" i="2"/>
  <c r="Z29" i="2"/>
  <c r="Z66" i="2"/>
  <c r="Z84" i="2"/>
  <c r="Z117" i="2"/>
  <c r="Z131" i="2"/>
  <c r="Z142" i="2"/>
  <c r="Z149" i="2"/>
  <c r="Z162" i="2"/>
  <c r="Z54" i="2"/>
  <c r="Z71" i="2"/>
  <c r="Z88" i="2"/>
  <c r="Z91" i="2"/>
  <c r="Z122" i="2"/>
  <c r="Z135" i="2"/>
  <c r="Y14" i="2"/>
  <c r="Y22" i="2"/>
  <c r="Y30" i="2"/>
  <c r="Y38" i="2"/>
  <c r="Y46" i="2"/>
  <c r="Y54" i="2"/>
  <c r="Y11" i="2"/>
  <c r="Y19" i="2"/>
  <c r="Y27" i="2"/>
  <c r="Y35" i="2"/>
  <c r="Y43" i="2"/>
  <c r="Y16" i="2"/>
  <c r="Y24" i="2"/>
  <c r="Y32" i="2"/>
  <c r="Y40" i="2"/>
  <c r="Y48" i="2"/>
  <c r="Y56" i="2"/>
  <c r="Y13" i="2"/>
  <c r="Y21" i="2"/>
  <c r="Y29" i="2"/>
  <c r="Y37" i="2"/>
  <c r="Y45" i="2"/>
  <c r="Y53" i="2"/>
  <c r="Y10" i="2"/>
  <c r="Y26" i="2"/>
  <c r="Y42" i="2"/>
  <c r="Y64" i="2"/>
  <c r="Y72" i="2"/>
  <c r="Y80" i="2"/>
  <c r="Y15" i="2"/>
  <c r="Y31" i="2"/>
  <c r="Y61" i="2"/>
  <c r="Y69" i="2"/>
  <c r="Y77" i="2"/>
  <c r="Y20" i="2"/>
  <c r="Y36" i="2"/>
  <c r="Y9" i="2"/>
  <c r="Y34" i="2"/>
  <c r="Y47" i="2"/>
  <c r="Y58" i="2"/>
  <c r="Y63" i="2"/>
  <c r="Y73" i="2"/>
  <c r="Y89" i="2"/>
  <c r="Y97" i="2"/>
  <c r="Y105" i="2"/>
  <c r="Y12" i="2"/>
  <c r="Y28" i="2"/>
  <c r="Y55" i="2"/>
  <c r="Y62" i="2"/>
  <c r="Y74" i="2"/>
  <c r="Y78" i="2"/>
  <c r="Y86" i="2"/>
  <c r="Y94" i="2"/>
  <c r="Y102" i="2"/>
  <c r="Y110" i="2"/>
  <c r="Y118" i="2"/>
  <c r="Y126" i="2"/>
  <c r="Y134" i="2"/>
  <c r="Y142" i="2"/>
  <c r="Y150" i="2"/>
  <c r="Y44" i="2"/>
  <c r="Y52" i="2"/>
  <c r="Y65" i="2"/>
  <c r="Y79" i="2"/>
  <c r="Y83" i="2"/>
  <c r="Y91" i="2"/>
  <c r="Y99" i="2"/>
  <c r="Y107" i="2"/>
  <c r="Y115" i="2"/>
  <c r="Y123" i="2"/>
  <c r="Y131" i="2"/>
  <c r="Y49" i="2"/>
  <c r="Y60" i="2"/>
  <c r="Y66" i="2"/>
  <c r="Y70" i="2"/>
  <c r="Y84" i="2"/>
  <c r="Y39" i="2"/>
  <c r="Y85" i="2"/>
  <c r="Y111" i="2"/>
  <c r="Y125" i="2"/>
  <c r="Y129" i="2"/>
  <c r="Y139" i="2"/>
  <c r="Y146" i="2"/>
  <c r="Y153" i="2"/>
  <c r="Y160" i="2"/>
  <c r="Y168" i="2"/>
  <c r="Y176" i="2"/>
  <c r="Y184" i="2"/>
  <c r="Y59" i="2"/>
  <c r="Y67" i="2"/>
  <c r="Y112" i="2"/>
  <c r="Y116" i="2"/>
  <c r="Y130" i="2"/>
  <c r="Y144" i="2"/>
  <c r="Y151" i="2"/>
  <c r="Y157" i="2"/>
  <c r="Y165" i="2"/>
  <c r="Y173" i="2"/>
  <c r="Y181" i="2"/>
  <c r="Y8" i="2"/>
  <c r="Y50" i="2"/>
  <c r="Y82" i="2"/>
  <c r="Y117" i="2"/>
  <c r="Y121" i="2"/>
  <c r="Y137" i="2"/>
  <c r="Y149" i="2"/>
  <c r="Y162" i="2"/>
  <c r="Y170" i="2"/>
  <c r="Y178" i="2"/>
  <c r="Y25" i="2"/>
  <c r="Y57" i="2"/>
  <c r="Y71" i="2"/>
  <c r="Y88" i="2"/>
  <c r="Y122" i="2"/>
  <c r="Y135" i="2"/>
  <c r="Y147" i="2"/>
  <c r="Y154" i="2"/>
  <c r="Y159" i="2"/>
  <c r="Y167" i="2"/>
  <c r="Y17" i="2"/>
  <c r="Y41" i="2"/>
  <c r="Y51" i="2"/>
  <c r="Y76" i="2"/>
  <c r="Y90" i="2"/>
  <c r="Y93" i="2"/>
  <c r="Y96" i="2"/>
  <c r="Y113" i="2"/>
  <c r="Y127" i="2"/>
  <c r="AA8" i="2"/>
  <c r="Y185" i="2"/>
  <c r="X184" i="2"/>
  <c r="Z183" i="2"/>
  <c r="Y182" i="2"/>
  <c r="AA181" i="2"/>
  <c r="Z180" i="2"/>
  <c r="Y179" i="2"/>
  <c r="AA178" i="2"/>
  <c r="Z177" i="2"/>
  <c r="AB176" i="2"/>
  <c r="AA175" i="2"/>
  <c r="Z174" i="2"/>
  <c r="AB173" i="2"/>
  <c r="AA172" i="2"/>
  <c r="AC171" i="2"/>
  <c r="AB170" i="2"/>
  <c r="AA169" i="2"/>
  <c r="AC168" i="2"/>
  <c r="AA167" i="2"/>
  <c r="X166" i="2"/>
  <c r="U165" i="2"/>
  <c r="R164" i="2"/>
  <c r="AB162" i="2"/>
  <c r="Y161" i="2"/>
  <c r="V160" i="2"/>
  <c r="S159" i="2"/>
  <c r="AC157" i="2"/>
  <c r="Z156" i="2"/>
  <c r="W155" i="2"/>
  <c r="R154" i="2"/>
  <c r="Z152" i="2"/>
  <c r="U151" i="2"/>
  <c r="AB149" i="2"/>
  <c r="W148" i="2"/>
  <c r="R147" i="2"/>
  <c r="Y145" i="2"/>
  <c r="T144" i="2"/>
  <c r="AB142" i="2"/>
  <c r="W141" i="2"/>
  <c r="AD139" i="2"/>
  <c r="Y138" i="2"/>
  <c r="T137" i="2"/>
  <c r="U135" i="2"/>
  <c r="X133" i="2"/>
  <c r="S131" i="2"/>
  <c r="AA128" i="2"/>
  <c r="AC126" i="2"/>
  <c r="X124" i="2"/>
  <c r="S122" i="2"/>
  <c r="U120" i="2"/>
  <c r="AC117" i="2"/>
  <c r="Z115" i="2"/>
  <c r="AB113" i="2"/>
  <c r="W111" i="2"/>
  <c r="Y108" i="2"/>
  <c r="X106" i="2"/>
  <c r="Y103" i="2"/>
  <c r="AC100" i="2"/>
  <c r="Y98" i="2"/>
  <c r="Z95" i="2"/>
  <c r="AD92" i="2"/>
  <c r="Z90" i="2"/>
  <c r="Z87" i="2"/>
  <c r="AC83" i="2"/>
  <c r="AC79" i="2"/>
  <c r="T75" i="2"/>
  <c r="Z70" i="2"/>
  <c r="AB66" i="2"/>
  <c r="V61" i="2"/>
  <c r="T53" i="2"/>
  <c r="Z45" i="2"/>
  <c r="T34" i="2"/>
  <c r="Y23" i="2"/>
  <c r="AC1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C87411-9B5E-4E70-8F4C-3C059A5C8055}" keepAlive="1" name="Query - wine_dataset" description="Connection to the 'wine_dataset' query in the workbook." type="5" refreshedVersion="8" background="1" saveData="1">
    <dbPr connection="Provider=Microsoft.Mashup.OleDb.1;Data Source=$Workbook$;Location=wine_dataset;Extended Properties=&quot;&quot;" command="SELECT * FROM [wine_dataset]"/>
  </connection>
  <connection id="2" xr16:uid="{3CD8E1E7-2FE4-4532-9BA0-3AC4D62AF4EC}" keepAlive="1" name="Query - wine_dataset (2)" description="Connection to the 'wine_dataset (2)' query in the workbook." type="5" refreshedVersion="8" background="1" saveData="1">
    <dbPr connection="Provider=Microsoft.Mashup.OleDb.1;Data Source=$Workbook$;Location=&quot;wine_dataset (2)&quot;;Extended Properties=&quot;&quot;" command="SELECT * FROM [wine_dataset (2)]"/>
  </connection>
  <connection id="3" xr16:uid="{BFD443FE-8D50-4716-9FE6-9D27F122520E}" keepAlive="1" name="Query - wine_dataset_test_split" description="Connection to the 'wine_dataset_test_split' query in the workbook." type="5" refreshedVersion="8" background="1" saveData="1">
    <dbPr connection="Provider=Microsoft.Mashup.OleDb.1;Data Source=$Workbook$;Location=wine_dataset_test_split;Extended Properties=&quot;&quot;" command="SELECT * FROM [wine_dataset_test_split]"/>
  </connection>
</connections>
</file>

<file path=xl/sharedStrings.xml><?xml version="1.0" encoding="utf-8"?>
<sst xmlns="http://schemas.openxmlformats.org/spreadsheetml/2006/main" count="119" uniqueCount="52">
  <si>
    <t>alcohol</t>
  </si>
  <si>
    <t>malic_acid</t>
  </si>
  <si>
    <t>ash</t>
  </si>
  <si>
    <t>alcalinity_of_ash</t>
  </si>
  <si>
    <t>magnesium</t>
  </si>
  <si>
    <t>total_phenols</t>
  </si>
  <si>
    <t>flavanoids</t>
  </si>
  <si>
    <t>nonflavanoid_phenols</t>
  </si>
  <si>
    <t>proanthocyanins</t>
  </si>
  <si>
    <t>color_intensity</t>
  </si>
  <si>
    <t>hue</t>
  </si>
  <si>
    <t>od280/od315_of_diluted_wines</t>
  </si>
  <si>
    <t>proline</t>
  </si>
  <si>
    <t>target</t>
  </si>
  <si>
    <t>Wine dataset (original)</t>
  </si>
  <si>
    <t>Wine dataset (normalised)</t>
  </si>
  <si>
    <t>a</t>
  </si>
  <si>
    <t>b</t>
  </si>
  <si>
    <t>min</t>
  </si>
  <si>
    <t>max</t>
  </si>
  <si>
    <t>Wine dataset (test split)</t>
  </si>
  <si>
    <t>Threshold</t>
  </si>
  <si>
    <t>N1</t>
  </si>
  <si>
    <t>N2</t>
  </si>
  <si>
    <t>N3</t>
  </si>
  <si>
    <t>N4</t>
  </si>
  <si>
    <t>a1</t>
  </si>
  <si>
    <t>a2</t>
  </si>
  <si>
    <t>a3</t>
  </si>
  <si>
    <t>f(a1)</t>
  </si>
  <si>
    <t>f(a2)</t>
  </si>
  <si>
    <t>f(a3)</t>
  </si>
  <si>
    <t>GAUTA</t>
  </si>
  <si>
    <t>ORIGINALI</t>
  </si>
  <si>
    <t>Python</t>
  </si>
  <si>
    <t>a4</t>
  </si>
  <si>
    <t>a5</t>
  </si>
  <si>
    <t>a6</t>
  </si>
  <si>
    <t>1 sluoksnis</t>
  </si>
  <si>
    <t>a7</t>
  </si>
  <si>
    <t>f(a4)</t>
  </si>
  <si>
    <t>f(a5)</t>
  </si>
  <si>
    <t>f(a7)</t>
  </si>
  <si>
    <t>f(a6)</t>
  </si>
  <si>
    <t>2 sluoksnis</t>
  </si>
  <si>
    <t>N5</t>
  </si>
  <si>
    <t>N6</t>
  </si>
  <si>
    <t>N7</t>
  </si>
  <si>
    <t>3 sluoksnis</t>
  </si>
  <si>
    <t>a8</t>
  </si>
  <si>
    <t>a9</t>
  </si>
  <si>
    <t>a10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</si>
</sst>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charset val="186"/>
      <scheme val="minor"/>
    </font>
    <font>
      <sz val="1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2">
    <xf numFmtId="0" fontId="0" fillId="0" borderId="0" xfId="0"/>
    <xf numFmtId="0" fontId="0" fillId="0" borderId="1" xfId="0" applyBorder="1"/>
    <xf numFmtId="0" fontId="2" fillId="3" borderId="1" xfId="1" applyFont="1" applyFill="1" applyBorder="1" applyAlignment="1">
      <alignment horizontal="center"/>
    </xf>
    <xf numFmtId="0" fontId="2" fillId="4" borderId="1" xfId="1" applyFont="1" applyFill="1" applyBorder="1"/>
    <xf numFmtId="0" fontId="2" fillId="3" borderId="2" xfId="1" applyFont="1" applyFill="1" applyBorder="1" applyAlignment="1">
      <alignment horizontal="center"/>
    </xf>
    <xf numFmtId="0" fontId="2" fillId="3" borderId="3" xfId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0" borderId="1" xfId="0" applyFont="1" applyBorder="1"/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4" xfId="1" applyFont="1" applyFill="1" applyBorder="1" applyAlignment="1">
      <alignment horizontal="center"/>
    </xf>
    <xf numFmtId="0" fontId="2" fillId="3" borderId="5" xfId="1" applyFont="1" applyFill="1" applyBorder="1" applyAlignment="1">
      <alignment horizontal="center"/>
    </xf>
    <xf numFmtId="0" fontId="2" fillId="3" borderId="6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Alignment="1">
      <alignment horizontal="center" wrapText="1"/>
    </xf>
    <xf numFmtId="0" fontId="3" fillId="6" borderId="1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</cellXfs>
  <cellStyles count="2">
    <cellStyle name="Bad" xfId="1" builtinId="27"/>
    <cellStyle name="Normal" xfId="0" builtinId="0"/>
  </cellStyles>
  <dxfs count="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86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186"/>
        <scheme val="minor"/>
      </font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186"/>
        <scheme val="minor"/>
      </font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6106C4A-7238-4F6C-BCC5-7A2520C9A54A}" autoFormatId="16" applyNumberFormats="0" applyBorderFormats="0" applyFontFormats="0" applyPatternFormats="0" applyAlignmentFormats="0" applyWidthHeightFormats="0">
  <queryTableRefresh nextId="15">
    <queryTableFields count="14">
      <queryTableField id="1" name="alcohol" tableColumnId="1"/>
      <queryTableField id="2" name="malic_acid" tableColumnId="2"/>
      <queryTableField id="3" name="ash" tableColumnId="3"/>
      <queryTableField id="4" name="alcalinity_of_ash" tableColumnId="4"/>
      <queryTableField id="5" name="magnesium" tableColumnId="5"/>
      <queryTableField id="6" name="total_phenols" tableColumnId="6"/>
      <queryTableField id="7" name="flavanoids" tableColumnId="7"/>
      <queryTableField id="8" name="nonflavanoid_phenols" tableColumnId="8"/>
      <queryTableField id="9" name="proanthocyanins" tableColumnId="9"/>
      <queryTableField id="10" name="color_intensity" tableColumnId="10"/>
      <queryTableField id="11" name="hue" tableColumnId="11"/>
      <queryTableField id="12" name="od280/od315_of_diluted_wines" tableColumnId="12"/>
      <queryTableField id="13" name="proline" tableColumnId="13"/>
      <queryTableField id="14" name="target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EB82A11-D422-48CF-A3CC-4E1B93CF89E5}" autoFormatId="16" applyNumberFormats="0" applyBorderFormats="0" applyFontFormats="0" applyPatternFormats="0" applyAlignmentFormats="0" applyWidthHeightFormats="0">
  <queryTableRefresh nextId="15">
    <queryTableFields count="14">
      <queryTableField id="1" name="alcohol" tableColumnId="1"/>
      <queryTableField id="2" name="malic_acid" tableColumnId="2"/>
      <queryTableField id="3" name="ash" tableColumnId="3"/>
      <queryTableField id="4" name="alcalinity_of_ash" tableColumnId="4"/>
      <queryTableField id="5" name="magnesium" tableColumnId="5"/>
      <queryTableField id="6" name="total_phenols" tableColumnId="6"/>
      <queryTableField id="7" name="flavanoids" tableColumnId="7"/>
      <queryTableField id="8" name="nonflavanoid_phenols" tableColumnId="8"/>
      <queryTableField id="9" name="proanthocyanins" tableColumnId="9"/>
      <queryTableField id="10" name="color_intensity" tableColumnId="10"/>
      <queryTableField id="11" name="hue" tableColumnId="11"/>
      <queryTableField id="12" name="od280/od315_of_diluted_wines" tableColumnId="12"/>
      <queryTableField id="13" name="proline" tableColumnId="13"/>
      <queryTableField id="14" name="target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FBBC1DE1-A5C3-4D54-BBF2-8E276B4100A6}" autoFormatId="16" applyNumberFormats="0" applyBorderFormats="0" applyFontFormats="0" applyPatternFormats="0" applyAlignmentFormats="0" applyWidthHeightFormats="0">
  <queryTableRefresh nextId="15">
    <queryTableFields count="14">
      <queryTableField id="1" name="alcohol" tableColumnId="1"/>
      <queryTableField id="2" name="malic_acid" tableColumnId="2"/>
      <queryTableField id="3" name="ash" tableColumnId="3"/>
      <queryTableField id="4" name="alcalinity_of_ash" tableColumnId="4"/>
      <queryTableField id="5" name="magnesium" tableColumnId="5"/>
      <queryTableField id="6" name="total_phenols" tableColumnId="6"/>
      <queryTableField id="7" name="flavanoids" tableColumnId="7"/>
      <queryTableField id="8" name="nonflavanoid_phenols" tableColumnId="8"/>
      <queryTableField id="9" name="proanthocyanins" tableColumnId="9"/>
      <queryTableField id="10" name="color_intensity" tableColumnId="10"/>
      <queryTableField id="11" name="hue" tableColumnId="11"/>
      <queryTableField id="12" name="od280/od315_of_diluted_wines" tableColumnId="12"/>
      <queryTableField id="13" name="proline" tableColumnId="13"/>
      <queryTableField id="14" name="target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A7F731-7CB4-49C4-A139-3597C1D19D61}" name="wine_dataset" displayName="wine_dataset" ref="B9:O187" tableType="queryTable" totalsRowShown="0" headerRowDxfId="47" headerRowCellStyle="Bad">
  <autoFilter ref="B9:O187" xr:uid="{0AA7F731-7CB4-49C4-A139-3597C1D19D61}"/>
  <tableColumns count="14">
    <tableColumn id="1" xr3:uid="{AC346023-13E2-4129-B63B-AC3BFAD94FB9}" uniqueName="1" name="alcohol" queryTableFieldId="1" dataDxfId="46"/>
    <tableColumn id="2" xr3:uid="{0BDE1D46-CFF6-458D-9ED4-FE25CE21AA7F}" uniqueName="2" name="malic_acid" queryTableFieldId="2" dataDxfId="45"/>
    <tableColumn id="3" xr3:uid="{E79EC79D-0DC0-4AD1-9ABD-55403E119E3D}" uniqueName="3" name="ash" queryTableFieldId="3" dataDxfId="44"/>
    <tableColumn id="4" xr3:uid="{95D37721-1427-478F-A6FD-DFD9A6105B2A}" uniqueName="4" name="alcalinity_of_ash" queryTableFieldId="4" dataDxfId="43"/>
    <tableColumn id="5" xr3:uid="{B4512134-9187-4592-A1AA-F083F84FB1A8}" uniqueName="5" name="magnesium" queryTableFieldId="5" dataDxfId="42"/>
    <tableColumn id="6" xr3:uid="{A40EBE94-14E1-49A1-8E29-E4498BD4EAE2}" uniqueName="6" name="total_phenols" queryTableFieldId="6" dataDxfId="41"/>
    <tableColumn id="7" xr3:uid="{FC6F3AAC-F03C-4080-9A74-E716067EA118}" uniqueName="7" name="flavanoids" queryTableFieldId="7" dataDxfId="40"/>
    <tableColumn id="8" xr3:uid="{CFCE0B51-ACC8-43E3-B1E2-6BCEF7810A71}" uniqueName="8" name="nonflavanoid_phenols" queryTableFieldId="8" dataDxfId="39"/>
    <tableColumn id="9" xr3:uid="{E3449230-D6DE-4F2D-868F-1F6B5105526F}" uniqueName="9" name="proanthocyanins" queryTableFieldId="9" dataDxfId="38"/>
    <tableColumn id="10" xr3:uid="{00B20B2C-C098-43CB-B221-258FEC9F0793}" uniqueName="10" name="color_intensity" queryTableFieldId="10" dataDxfId="37"/>
    <tableColumn id="11" xr3:uid="{15C9D38D-3C17-4931-86F8-A2E416C84567}" uniqueName="11" name="hue" queryTableFieldId="11" dataDxfId="36"/>
    <tableColumn id="12" xr3:uid="{6BAA269A-06F8-47EF-91B9-1515DCEAABDA}" uniqueName="12" name="od280/od315_of_diluted_wines" queryTableFieldId="12" dataDxfId="35"/>
    <tableColumn id="13" xr3:uid="{445F0516-185E-4A9E-AE1D-4F34721E23B9}" uniqueName="13" name="proline" queryTableFieldId="13" dataDxfId="34"/>
    <tableColumn id="14" xr3:uid="{EC144B05-6E2B-4649-88A1-DBA5B259402E}" uniqueName="14" name="target" queryTableFieldId="14" dataDxfId="3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188692-F8E7-4876-866C-EDF31C24C5AC}" name="wine_dataset3" displayName="wine_dataset3" ref="R7:AE185" tableType="queryTable" totalsRowShown="0" headerRowDxfId="32" headerRowCellStyle="Bad">
  <autoFilter ref="R7:AE185" xr:uid="{D3188692-F8E7-4876-866C-EDF31C24C5AC}"/>
  <tableColumns count="14">
    <tableColumn id="1" xr3:uid="{9E772A0D-F056-47DA-8317-C7D1E2571258}" uniqueName="1" name="alcohol" queryTableFieldId="1" dataDxfId="31"/>
    <tableColumn id="2" xr3:uid="{00419620-6B71-43F4-922E-AEC6449EC2CD}" uniqueName="2" name="malic_acid" queryTableFieldId="2" dataDxfId="30"/>
    <tableColumn id="3" xr3:uid="{FB4A12E3-E9F0-4721-BD1E-43B653CFF6E1}" uniqueName="3" name="ash" queryTableFieldId="3" dataDxfId="29"/>
    <tableColumn id="4" xr3:uid="{43F15601-9EFD-496C-BB4F-83950BD62E28}" uniqueName="4" name="alcalinity_of_ash" queryTableFieldId="4" dataDxfId="28"/>
    <tableColumn id="5" xr3:uid="{A010D5CD-BE3C-4306-90AF-613960DA2B7B}" uniqueName="5" name="magnesium" queryTableFieldId="5" dataDxfId="27"/>
    <tableColumn id="6" xr3:uid="{3465D48B-108C-40BD-B303-B18FC161DAA0}" uniqueName="6" name="total_phenols" queryTableFieldId="6" dataDxfId="26"/>
    <tableColumn id="7" xr3:uid="{84A8ED25-CB7A-431F-BB4C-D6672C35E5B8}" uniqueName="7" name="flavanoids" queryTableFieldId="7" dataDxfId="25"/>
    <tableColumn id="8" xr3:uid="{F9C62A74-FCE3-4D20-9A43-824A5335E8D7}" uniqueName="8" name="nonflavanoid_phenols" queryTableFieldId="8" dataDxfId="24"/>
    <tableColumn id="9" xr3:uid="{E00485F8-E37F-463A-ACB4-D61C7709335F}" uniqueName="9" name="proanthocyanins" queryTableFieldId="9" dataDxfId="23"/>
    <tableColumn id="10" xr3:uid="{18FF13CD-CD89-430B-901D-FD844FCA3CAE}" uniqueName="10" name="color_intensity" queryTableFieldId="10" dataDxfId="22"/>
    <tableColumn id="11" xr3:uid="{9F567A11-874D-40B8-B495-D519CCCB5CE2}" uniqueName="11" name="hue" queryTableFieldId="11" dataDxfId="21"/>
    <tableColumn id="12" xr3:uid="{6CDF5459-9797-409A-B425-4E2AECA0DFEB}" uniqueName="12" name="od280/od315_of_diluted_wines" queryTableFieldId="12" dataDxfId="20"/>
    <tableColumn id="13" xr3:uid="{C3FE0D4F-1F87-4DE4-B356-5ED405FB963D}" uniqueName="13" name="proline" queryTableFieldId="13" dataDxfId="19"/>
    <tableColumn id="14" xr3:uid="{51C8B256-285A-458C-B71E-87D9BA087E85}" uniqueName="14" name="target" queryTableFieldId="14" dataDxfId="1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C5AB2C-390C-4CBE-954C-A2AECB489737}" name="wine_dataset_test_split" displayName="wine_dataset_test_split" ref="AG7:AT43" tableType="queryTable" totalsRowShown="0" headerRowDxfId="17" headerRowBorderDxfId="16" headerRowCellStyle="Bad">
  <autoFilter ref="AG7:AT43" xr:uid="{4CC5AB2C-390C-4CBE-954C-A2AECB489737}"/>
  <tableColumns count="14">
    <tableColumn id="1" xr3:uid="{0DEC4A7A-9EFC-4832-B544-82AC34C739E2}" uniqueName="1" name="alcohol" queryTableFieldId="1" dataDxfId="15"/>
    <tableColumn id="2" xr3:uid="{76FE9F3E-E5B6-4624-9A1A-1600D471270C}" uniqueName="2" name="malic_acid" queryTableFieldId="2" dataDxfId="14"/>
    <tableColumn id="3" xr3:uid="{AD6776A5-5758-4040-B3CE-7D8FE41E7839}" uniqueName="3" name="ash" queryTableFieldId="3" dataDxfId="13"/>
    <tableColumn id="4" xr3:uid="{A9090D18-0941-4FC0-BA38-8AA263359FF8}" uniqueName="4" name="alcalinity_of_ash" queryTableFieldId="4" dataDxfId="12"/>
    <tableColumn id="5" xr3:uid="{481DE840-6548-4E11-8549-2ED46E682481}" uniqueName="5" name="magnesium" queryTableFieldId="5" dataDxfId="11"/>
    <tableColumn id="6" xr3:uid="{54F81E45-28CF-448B-9829-66630D2918F4}" uniqueName="6" name="total_phenols" queryTableFieldId="6" dataDxfId="10"/>
    <tableColumn id="7" xr3:uid="{7B9C3E41-B68C-4D2E-8DCB-04B31008F6A1}" uniqueName="7" name="flavanoids" queryTableFieldId="7" dataDxfId="9"/>
    <tableColumn id="8" xr3:uid="{93F7AE18-6933-417E-8398-0B12BDA77AD2}" uniqueName="8" name="nonflavanoid_phenols" queryTableFieldId="8" dataDxfId="8"/>
    <tableColumn id="9" xr3:uid="{00ABE8F2-4118-44A8-BA7F-B66A0E442C10}" uniqueName="9" name="proanthocyanins" queryTableFieldId="9" dataDxfId="7"/>
    <tableColumn id="10" xr3:uid="{8CA2E78A-4E72-4E81-80BD-ED54A10790B9}" uniqueName="10" name="color_intensity" queryTableFieldId="10" dataDxfId="6"/>
    <tableColumn id="11" xr3:uid="{F7DA7C19-172C-451D-ADDA-BB53677E390F}" uniqueName="11" name="hue" queryTableFieldId="11" dataDxfId="5"/>
    <tableColumn id="12" xr3:uid="{D1474104-9022-4D8B-B86A-843EC6DA0D00}" uniqueName="12" name="od280/od315_of_diluted_wines" queryTableFieldId="12" dataDxfId="4"/>
    <tableColumn id="13" xr3:uid="{C9D5D29A-702D-4A19-94DC-95003AE7B4C1}" uniqueName="13" name="proline" queryTableFieldId="13" dataDxfId="3"/>
    <tableColumn id="14" xr3:uid="{BC6B5AF2-AA97-4A48-B33E-1BF79F31965F}" uniqueName="14" name="target" queryTableFieldId="14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62882-C860-4477-9CE2-FB0622A0C708}">
  <dimension ref="A3:CF187"/>
  <sheetViews>
    <sheetView tabSelected="1" topLeftCell="BG1" zoomScale="106" zoomScaleNormal="100" workbookViewId="0">
      <selection activeCell="BP25" sqref="BP25"/>
    </sheetView>
  </sheetViews>
  <sheetFormatPr baseColWidth="10" defaultColWidth="8.83203125" defaultRowHeight="15" x14ac:dyDescent="0.2"/>
  <cols>
    <col min="1" max="1" width="9.6640625" bestFit="1" customWidth="1"/>
    <col min="2" max="2" width="7.5" customWidth="1"/>
    <col min="3" max="3" width="10.5" customWidth="1"/>
    <col min="4" max="4" width="5.5" customWidth="1"/>
    <col min="5" max="5" width="15.6640625" customWidth="1"/>
    <col min="6" max="6" width="11.1640625" customWidth="1"/>
    <col min="7" max="7" width="13.5" customWidth="1"/>
    <col min="8" max="8" width="9.6640625" customWidth="1"/>
    <col min="9" max="9" width="20.5" customWidth="1"/>
    <col min="10" max="10" width="15.6640625" customWidth="1"/>
    <col min="11" max="11" width="13.83203125" customWidth="1"/>
    <col min="12" max="12" width="6.1640625" customWidth="1"/>
    <col min="13" max="13" width="7.1640625" customWidth="1"/>
    <col min="14" max="14" width="8.5" bestFit="1" customWidth="1"/>
    <col min="18" max="18" width="9.1640625" customWidth="1"/>
    <col min="33" max="33" width="9.1640625" customWidth="1"/>
    <col min="48" max="48" width="13.1640625" customWidth="1"/>
    <col min="79" max="79" width="10.33203125" customWidth="1"/>
    <col min="80" max="80" width="11" customWidth="1"/>
  </cols>
  <sheetData>
    <row r="3" spans="1:84" x14ac:dyDescent="0.2">
      <c r="P3" s="7" t="s">
        <v>16</v>
      </c>
      <c r="Q3" s="6">
        <v>-1</v>
      </c>
    </row>
    <row r="4" spans="1:84" x14ac:dyDescent="0.2">
      <c r="P4" s="7" t="s">
        <v>17</v>
      </c>
      <c r="Q4" s="6">
        <v>1</v>
      </c>
    </row>
    <row r="5" spans="1:84" ht="15" customHeight="1" x14ac:dyDescent="0.2">
      <c r="BB5" s="19" t="s">
        <v>38</v>
      </c>
      <c r="BC5" s="19"/>
      <c r="BD5" s="19"/>
      <c r="BE5" s="19"/>
      <c r="BF5" s="19"/>
      <c r="BG5" s="19"/>
      <c r="BH5" s="19"/>
      <c r="BI5" s="18"/>
      <c r="BJ5" s="19" t="s">
        <v>44</v>
      </c>
      <c r="BK5" s="19"/>
      <c r="BL5" s="19"/>
      <c r="BM5" s="19"/>
      <c r="BN5" s="19"/>
      <c r="BO5" s="19"/>
      <c r="BP5" s="19"/>
      <c r="BQ5" s="19"/>
      <c r="BR5" s="19"/>
      <c r="BT5" s="19" t="s">
        <v>48</v>
      </c>
      <c r="BU5" s="19"/>
      <c r="BV5" s="19"/>
      <c r="BW5" s="19"/>
      <c r="BX5" s="19"/>
      <c r="BY5" s="19"/>
      <c r="BZ5" s="19"/>
      <c r="CA5" s="19"/>
      <c r="CB5" s="19"/>
      <c r="CC5" s="19"/>
    </row>
    <row r="6" spans="1:84" x14ac:dyDescent="0.2">
      <c r="B6" s="12" t="s">
        <v>14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R6" s="15" t="s">
        <v>15</v>
      </c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G6" s="15" t="s">
        <v>20</v>
      </c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V6" s="1"/>
      <c r="AW6" s="10" t="s">
        <v>22</v>
      </c>
      <c r="AX6" s="10" t="s">
        <v>23</v>
      </c>
      <c r="AY6" s="10" t="s">
        <v>24</v>
      </c>
      <c r="AZ6" s="16"/>
      <c r="BA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</row>
    <row r="7" spans="1:84" x14ac:dyDescent="0.2">
      <c r="A7" t="s">
        <v>18</v>
      </c>
      <c r="B7" s="2">
        <f>MIN(wine_dataset[alcohol])</f>
        <v>11.03</v>
      </c>
      <c r="C7" s="2">
        <f>MIN(wine_dataset[malic_acid])</f>
        <v>0.74</v>
      </c>
      <c r="D7" s="2">
        <f>MIN(wine_dataset[ash])</f>
        <v>1.36</v>
      </c>
      <c r="E7" s="2">
        <f>MIN(wine_dataset[alcalinity_of_ash])</f>
        <v>10.6</v>
      </c>
      <c r="F7" s="2">
        <f>MIN(wine_dataset[magnesium])</f>
        <v>70</v>
      </c>
      <c r="G7" s="2">
        <f>MIN(wine_dataset[total_phenols])</f>
        <v>0.98</v>
      </c>
      <c r="H7" s="2">
        <f>MIN(wine_dataset[flavanoids])</f>
        <v>0.34</v>
      </c>
      <c r="I7" s="2">
        <f>MIN(wine_dataset[nonflavanoid_phenols])</f>
        <v>0.13</v>
      </c>
      <c r="J7" s="2">
        <f>MIN(wine_dataset[proanthocyanins])</f>
        <v>0.41</v>
      </c>
      <c r="K7" s="2">
        <f>MIN(wine_dataset[color_intensity])</f>
        <v>1.28</v>
      </c>
      <c r="L7" s="2">
        <f>MIN(wine_dataset[hue])</f>
        <v>0.48</v>
      </c>
      <c r="M7" s="2">
        <f>MIN(wine_dataset[od280/od315_of_diluted_wines])</f>
        <v>1.27</v>
      </c>
      <c r="N7" s="2">
        <f>MIN(wine_dataset[proline])</f>
        <v>278</v>
      </c>
      <c r="O7" s="4"/>
      <c r="R7" s="3" t="s">
        <v>0</v>
      </c>
      <c r="S7" s="3" t="s">
        <v>1</v>
      </c>
      <c r="T7" s="3" t="s">
        <v>2</v>
      </c>
      <c r="U7" s="3" t="s">
        <v>3</v>
      </c>
      <c r="V7" s="3" t="s">
        <v>4</v>
      </c>
      <c r="W7" s="3" t="s">
        <v>5</v>
      </c>
      <c r="X7" s="3" t="s">
        <v>6</v>
      </c>
      <c r="Y7" s="3" t="s">
        <v>7</v>
      </c>
      <c r="Z7" s="3" t="s">
        <v>8</v>
      </c>
      <c r="AA7" s="3" t="s">
        <v>9</v>
      </c>
      <c r="AB7" s="3" t="s">
        <v>10</v>
      </c>
      <c r="AC7" s="3" t="s">
        <v>11</v>
      </c>
      <c r="AD7" s="3" t="s">
        <v>12</v>
      </c>
      <c r="AE7" s="3" t="s">
        <v>13</v>
      </c>
      <c r="AG7" s="3" t="s">
        <v>0</v>
      </c>
      <c r="AH7" s="3" t="s">
        <v>1</v>
      </c>
      <c r="AI7" s="3" t="s">
        <v>2</v>
      </c>
      <c r="AJ7" s="3" t="s">
        <v>3</v>
      </c>
      <c r="AK7" s="3" t="s">
        <v>4</v>
      </c>
      <c r="AL7" s="3" t="s">
        <v>5</v>
      </c>
      <c r="AM7" s="3" t="s">
        <v>6</v>
      </c>
      <c r="AN7" s="3" t="s">
        <v>7</v>
      </c>
      <c r="AO7" s="3" t="s">
        <v>8</v>
      </c>
      <c r="AP7" s="3" t="s">
        <v>9</v>
      </c>
      <c r="AQ7" s="3" t="s">
        <v>10</v>
      </c>
      <c r="AR7" s="3" t="s">
        <v>11</v>
      </c>
      <c r="AS7" s="3" t="s">
        <v>12</v>
      </c>
      <c r="AT7" s="3" t="s">
        <v>13</v>
      </c>
      <c r="AV7" s="8" t="s">
        <v>21</v>
      </c>
      <c r="AW7" s="1">
        <v>0.414935</v>
      </c>
      <c r="AX7" s="1">
        <v>6.1606000000000001E-2</v>
      </c>
      <c r="AY7" s="1">
        <v>9.5062999999999995E-2</v>
      </c>
      <c r="AZ7" s="17"/>
      <c r="BB7" s="10" t="s">
        <v>26</v>
      </c>
      <c r="BC7" s="10" t="s">
        <v>27</v>
      </c>
      <c r="BD7" s="10" t="s">
        <v>28</v>
      </c>
      <c r="BE7" s="11"/>
      <c r="BF7" s="10" t="s">
        <v>29</v>
      </c>
      <c r="BG7" s="10" t="s">
        <v>30</v>
      </c>
      <c r="BH7" s="10" t="s">
        <v>31</v>
      </c>
      <c r="BI7" s="16"/>
      <c r="BJ7" s="10" t="s">
        <v>35</v>
      </c>
      <c r="BK7" s="10" t="s">
        <v>36</v>
      </c>
      <c r="BL7" s="10" t="s">
        <v>37</v>
      </c>
      <c r="BM7" s="10" t="s">
        <v>39</v>
      </c>
      <c r="BN7" s="16"/>
      <c r="BO7" s="10" t="s">
        <v>40</v>
      </c>
      <c r="BP7" s="10" t="s">
        <v>41</v>
      </c>
      <c r="BQ7" s="10" t="s">
        <v>43</v>
      </c>
      <c r="BR7" s="10" t="s">
        <v>42</v>
      </c>
      <c r="BT7" s="10" t="s">
        <v>49</v>
      </c>
      <c r="BU7" s="10" t="s">
        <v>50</v>
      </c>
      <c r="BV7" s="10" t="s">
        <v>51</v>
      </c>
      <c r="BX7" s="10">
        <v>0</v>
      </c>
      <c r="BY7" s="10">
        <v>1</v>
      </c>
      <c r="BZ7" s="10">
        <v>2</v>
      </c>
      <c r="CA7" s="10" t="s">
        <v>32</v>
      </c>
      <c r="CB7" s="10" t="s">
        <v>33</v>
      </c>
      <c r="CC7" s="10" t="s">
        <v>34</v>
      </c>
    </row>
    <row r="8" spans="1:84" x14ac:dyDescent="0.2">
      <c r="A8" t="s">
        <v>19</v>
      </c>
      <c r="B8" s="2">
        <f>MAX(wine_dataset[alcohol])</f>
        <v>14.83</v>
      </c>
      <c r="C8" s="2">
        <f>MAX(wine_dataset[malic_acid])</f>
        <v>5.8</v>
      </c>
      <c r="D8" s="2">
        <f>MAX(wine_dataset[ash])</f>
        <v>3.23</v>
      </c>
      <c r="E8" s="2">
        <f>MAX(wine_dataset[alcalinity_of_ash])</f>
        <v>30</v>
      </c>
      <c r="F8" s="2">
        <f>MAX(wine_dataset[magnesium])</f>
        <v>162</v>
      </c>
      <c r="G8" s="2">
        <f>MAX(wine_dataset[total_phenols])</f>
        <v>3.88</v>
      </c>
      <c r="H8" s="2">
        <f>MAX(wine_dataset[flavanoids])</f>
        <v>5.08</v>
      </c>
      <c r="I8" s="2">
        <f>MAX(wine_dataset[nonflavanoid_phenols])</f>
        <v>0.66</v>
      </c>
      <c r="J8" s="2">
        <f>MAX(wine_dataset[proanthocyanins])</f>
        <v>3.58</v>
      </c>
      <c r="K8" s="2">
        <f>MAX(wine_dataset[color_intensity])</f>
        <v>13</v>
      </c>
      <c r="L8" s="2">
        <f>MAX(wine_dataset[hue])</f>
        <v>1.71</v>
      </c>
      <c r="M8" s="2">
        <f>MAX(wine_dataset[od280/od315_of_diluted_wines])</f>
        <v>4</v>
      </c>
      <c r="N8" s="2">
        <f>MAX(wine_dataset[proline])</f>
        <v>1680</v>
      </c>
      <c r="O8" s="5"/>
      <c r="R8" s="1">
        <f>$Q$3+((B10-B$7)*($Q$4-$Q$3))/(B$8-B$7)</f>
        <v>0.68421052631578982</v>
      </c>
      <c r="S8" s="1">
        <f t="shared" ref="S8:AD8" si="0">$Q$3+((C10-C$7)*($Q$4-$Q$3))/(C$8-C$7)</f>
        <v>-0.61660079051383399</v>
      </c>
      <c r="T8" s="1">
        <f t="shared" si="0"/>
        <v>0.14438502673796805</v>
      </c>
      <c r="U8" s="1">
        <f t="shared" si="0"/>
        <v>-0.48453608247422675</v>
      </c>
      <c r="V8" s="1">
        <f t="shared" si="0"/>
        <v>0.23913043478260865</v>
      </c>
      <c r="W8" s="1">
        <f t="shared" si="0"/>
        <v>0.25517241379310329</v>
      </c>
      <c r="X8" s="1">
        <f t="shared" si="0"/>
        <v>0.14767932489451474</v>
      </c>
      <c r="Y8" s="1">
        <f t="shared" si="0"/>
        <v>-0.4339622641509433</v>
      </c>
      <c r="Z8" s="1">
        <f t="shared" si="0"/>
        <v>0.18611987381703488</v>
      </c>
      <c r="AA8" s="1">
        <f t="shared" si="0"/>
        <v>-0.25597269624573393</v>
      </c>
      <c r="AB8" s="1">
        <f t="shared" si="0"/>
        <v>-8.9430894308943021E-2</v>
      </c>
      <c r="AC8" s="1">
        <f t="shared" si="0"/>
        <v>0.94139194139194138</v>
      </c>
      <c r="AD8" s="1">
        <f t="shared" si="0"/>
        <v>0.12268188302425109</v>
      </c>
      <c r="AE8" s="1">
        <v>0</v>
      </c>
      <c r="AG8" s="1">
        <v>0.61578947368421</v>
      </c>
      <c r="AH8" s="1">
        <v>-0.438735177865612</v>
      </c>
      <c r="AI8" s="1">
        <v>5.34759358288727E-3</v>
      </c>
      <c r="AJ8" s="1">
        <v>-0.23711340206185499</v>
      </c>
      <c r="AK8" s="1">
        <v>-0.23913043478260801</v>
      </c>
      <c r="AL8" s="1">
        <v>0.35862068965517202</v>
      </c>
      <c r="AM8" s="1">
        <v>0.25738396624472498</v>
      </c>
      <c r="AN8" s="1">
        <v>-0.660377358490566</v>
      </c>
      <c r="AO8" s="1">
        <v>0.24290220820189201</v>
      </c>
      <c r="AP8" s="1">
        <v>-0.23720136518771301</v>
      </c>
      <c r="AQ8" s="1">
        <v>0.25203252032520301</v>
      </c>
      <c r="AR8" s="1">
        <v>0.39194139194139099</v>
      </c>
      <c r="AS8" s="1">
        <v>0.75748930099857303</v>
      </c>
      <c r="AT8" s="1">
        <v>0</v>
      </c>
      <c r="AV8" s="8" t="s">
        <v>0</v>
      </c>
      <c r="AW8" s="1">
        <v>-0.80823500000000004</v>
      </c>
      <c r="AX8" s="1">
        <v>1.056678</v>
      </c>
      <c r="AY8" s="1">
        <v>-2.9597999999999999E-2</v>
      </c>
      <c r="AZ8" s="17"/>
      <c r="BB8" s="1">
        <f>$AG8*AW$8+$AH8*AW$9+$AI8*AW$10+$AJ8*AW$11+$AK8*AW$12+$AL8*AW$13+$AM8*AW$14+$AN8*AW$15+$AO8*AW$16+$AP8*AW$17+$AQ8*AW$18+$AR8*AW$19+$AS8*AW$20+AW$7</f>
        <v>-0.35184370725083308</v>
      </c>
      <c r="BC8" s="1">
        <f>$AG8*AX$8+$AH8*AX$9+$AI8*AX$10+$AJ8*AX$11+$AK8*AX$12+$AL8*AX$13+$AM8*AX$14+$AN8*AX$15+$AO8*AX$16+$AP8*AX$17+$AQ8*AX$18+$AR8*AX$19+$AS8*AX$20+AX$7</f>
        <v>2.2717198565528349</v>
      </c>
      <c r="BD8" s="1">
        <f>$AG8*AY$8+$AH8*AY$9+$AI8*AY$10+$AJ8*AY$11+$AK8*AY$12+$AL8*AY$13+$AM8*AY$14+$AN8*AY$15+$AO8*AY$16+$AP8*AY$17+$AQ8*AY$18+$AR8*AY$19+$AS8*AY$20+AY$7</f>
        <v>-0.76530274568533974</v>
      </c>
      <c r="BF8" s="1">
        <f>1/(1+EXP(-BB8))</f>
        <v>0.41293539839217502</v>
      </c>
      <c r="BG8" s="1">
        <f t="shared" ref="BG8:BH8" si="1">1/(1+EXP(-BC8))</f>
        <v>0.90650765017863721</v>
      </c>
      <c r="BH8" s="1">
        <f t="shared" si="1"/>
        <v>0.31749609151658775</v>
      </c>
      <c r="BI8" s="17"/>
      <c r="BJ8" s="1">
        <f>AW$24*$BF8+AW$25*$BG8+AW$26*$BH8+AW$23</f>
        <v>-0.47078650223721918</v>
      </c>
      <c r="BK8" s="1">
        <f t="shared" ref="BK8:BM8" si="2">AX$24*$BF8+AX$25*$BG8+AX$26*$BH8+AX$23</f>
        <v>0.63905385192062381</v>
      </c>
      <c r="BL8" s="1">
        <f t="shared" si="2"/>
        <v>-0.24940174617379662</v>
      </c>
      <c r="BM8" s="1">
        <f t="shared" si="2"/>
        <v>-1.0803137045530486</v>
      </c>
      <c r="BN8" s="17"/>
      <c r="BO8" s="1">
        <f>1/(1+EXP(-BJ8))</f>
        <v>0.38443010597874483</v>
      </c>
      <c r="BP8" s="1">
        <f>1/(1+EXP(-BK8))</f>
        <v>0.65453955123554475</v>
      </c>
      <c r="BQ8" s="1">
        <f>1/(1+EXP(-BL8))</f>
        <v>0.43797075524410151</v>
      </c>
      <c r="BR8" s="1">
        <f>1/(1+EXP(-BM8))</f>
        <v>0.25344665557870938</v>
      </c>
      <c r="BT8" s="1">
        <f>$BO8*AW$30+$BP8*AW$31+$BQ8*AW$32+$BR8*AW$33+AW$29</f>
        <v>-0.24699546424479979</v>
      </c>
      <c r="BU8" s="1">
        <f t="shared" ref="BU8:BV8" si="3">$BO8*AX$30+$BP8*AX$31+$BQ8*AX$32+$BR8*AX$33+AX$29</f>
        <v>-0.74000155784562915</v>
      </c>
      <c r="BV8" s="1">
        <f>$BO8*AY$30+$BP8*AY$31+$BQ8*AY$32+$BR8*AY$33+AY$29</f>
        <v>-1.1050120862724757</v>
      </c>
      <c r="BX8" s="1">
        <f>1/(1+EXP(-BT8))</f>
        <v>0.43856315538625207</v>
      </c>
      <c r="BY8" s="1">
        <f>1/(1+EXP(-BU8))</f>
        <v>0.3230038031036242</v>
      </c>
      <c r="BZ8" s="1">
        <f>1/(1+EXP(-BV8))</f>
        <v>0.24880195884346465</v>
      </c>
      <c r="CA8" s="6">
        <f>MATCH(MAX(BX8:BZ8), BX8:BZ8, 0)-1</f>
        <v>0</v>
      </c>
      <c r="CB8" s="6">
        <f>wine_dataset_test_split[[#This Row],[target]]</f>
        <v>0</v>
      </c>
      <c r="CC8" s="6">
        <v>0</v>
      </c>
    </row>
    <row r="9" spans="1:84" x14ac:dyDescent="0.2">
      <c r="B9" s="3" t="s">
        <v>0</v>
      </c>
      <c r="C9" s="3" t="s">
        <v>1</v>
      </c>
      <c r="D9" s="3" t="s">
        <v>2</v>
      </c>
      <c r="E9" s="3" t="s">
        <v>3</v>
      </c>
      <c r="F9" s="3" t="s">
        <v>4</v>
      </c>
      <c r="G9" s="3" t="s">
        <v>5</v>
      </c>
      <c r="H9" s="3" t="s">
        <v>6</v>
      </c>
      <c r="I9" s="3" t="s">
        <v>7</v>
      </c>
      <c r="J9" s="3" t="s">
        <v>8</v>
      </c>
      <c r="K9" s="3" t="s">
        <v>9</v>
      </c>
      <c r="L9" s="3" t="s">
        <v>10</v>
      </c>
      <c r="M9" s="3" t="s">
        <v>11</v>
      </c>
      <c r="N9" s="3" t="s">
        <v>12</v>
      </c>
      <c r="O9" s="3" t="s">
        <v>13</v>
      </c>
      <c r="R9" s="1">
        <f t="shared" ref="R9:R72" si="4">$Q$3+((B11-B$7)*($Q$4-$Q$3))/(B$8-B$7)</f>
        <v>0.14210526315789451</v>
      </c>
      <c r="S9" s="1">
        <f t="shared" ref="S9:S72" si="5">$Q$3+((C11-C$7)*($Q$4-$Q$3))/(C$8-C$7)</f>
        <v>-0.5889328063241106</v>
      </c>
      <c r="T9" s="1">
        <f t="shared" ref="T9:T72" si="6">$Q$3+((D11-D$7)*($Q$4-$Q$3))/(D$8-D$7)</f>
        <v>-0.1657754010695186</v>
      </c>
      <c r="U9" s="1">
        <f t="shared" ref="U9:U72" si="7">$Q$3+((E11-E$7)*($Q$4-$Q$3))/(E$8-E$7)</f>
        <v>-0.93814432989690721</v>
      </c>
      <c r="V9" s="1">
        <f t="shared" ref="V9:V72" si="8">$Q$3+((F11-F$7)*($Q$4-$Q$3))/(F$8-F$7)</f>
        <v>-0.34782608695652173</v>
      </c>
      <c r="W9" s="1">
        <f t="shared" ref="W9:W72" si="9">$Q$3+((G11-G$7)*($Q$4-$Q$3))/(G$8-G$7)</f>
        <v>0.15172413793103456</v>
      </c>
      <c r="X9" s="1">
        <f t="shared" ref="X9:X72" si="10">$Q$3+((H11-H$7)*($Q$4-$Q$3))/(H$8-H$7)</f>
        <v>2.1097046413502074E-2</v>
      </c>
      <c r="Y9" s="1">
        <f t="shared" ref="Y9:Y72" si="11">$Q$3+((I11-I$7)*($Q$4-$Q$3))/(I$8-I$7)</f>
        <v>-0.50943396226415094</v>
      </c>
      <c r="Z9" s="1">
        <f t="shared" ref="Z9:Z72" si="12">$Q$3+((J11-J$7)*($Q$4-$Q$3))/(J$8-J$7)</f>
        <v>-0.45110410094637221</v>
      </c>
      <c r="AA9" s="1">
        <f t="shared" ref="AA9:AA72" si="13">$Q$3+((K11-K$7)*($Q$4-$Q$3))/(K$8-K$7)</f>
        <v>-0.47098976109215029</v>
      </c>
      <c r="AB9" s="1">
        <f t="shared" ref="AB9:AB72" si="14">$Q$3+((L11-L$7)*($Q$4-$Q$3))/(L$8-L$7)</f>
        <v>-7.3170731707316916E-2</v>
      </c>
      <c r="AC9" s="1">
        <f t="shared" ref="AC9:AC72" si="15">$Q$3+((M11-M$7)*($Q$4-$Q$3))/(M$8-M$7)</f>
        <v>0.56043956043956045</v>
      </c>
      <c r="AD9" s="1">
        <f t="shared" ref="AD9:AD72" si="16">$Q$3+((N11-N$7)*($Q$4-$Q$3))/(N$8-N$7)</f>
        <v>0.10128388017118395</v>
      </c>
      <c r="AE9" s="1">
        <v>0</v>
      </c>
      <c r="AG9" s="1">
        <v>-0.221052631578946</v>
      </c>
      <c r="AH9" s="1">
        <v>-0.80237154150197598</v>
      </c>
      <c r="AI9" s="1">
        <v>-4.8128342245989497E-2</v>
      </c>
      <c r="AJ9" s="1">
        <v>-0.28865979381443202</v>
      </c>
      <c r="AK9" s="1">
        <v>-0.67391304347825998</v>
      </c>
      <c r="AL9" s="1">
        <v>-0.29655172413793002</v>
      </c>
      <c r="AM9" s="1">
        <v>-0.89873417721519</v>
      </c>
      <c r="AN9" s="1">
        <v>0.77358490566037696</v>
      </c>
      <c r="AO9" s="1">
        <v>-0.470031545741324</v>
      </c>
      <c r="AP9" s="1">
        <v>-0.28839590443685997</v>
      </c>
      <c r="AQ9" s="1">
        <v>-0.56097560975609695</v>
      </c>
      <c r="AR9" s="1">
        <v>-0.82417582417582402</v>
      </c>
      <c r="AS9" s="1">
        <v>-0.469329529243937</v>
      </c>
      <c r="AT9" s="1">
        <v>2</v>
      </c>
      <c r="AV9" s="8" t="s">
        <v>1</v>
      </c>
      <c r="AW9" s="1">
        <v>-0.491697</v>
      </c>
      <c r="AX9" s="1">
        <v>-0.70350000000000001</v>
      </c>
      <c r="AY9" s="1">
        <v>-0.40949099999999999</v>
      </c>
      <c r="AZ9" s="17"/>
      <c r="BB9" s="1">
        <f>$AG9*AW$8+$AH9*AW$9+$AI9*AW$10+$AJ9*AW$11+$AK9*AW$12+$AL9*AW$13+$AM9*AW$14+$AN9*AW$15+$AO9*AW$16+$AP9*AW$17+$AQ9*AW$18+$AR9*AW$19+$AS9*AW$20+AW$7</f>
        <v>1.0808137783871794</v>
      </c>
      <c r="BC9" s="1">
        <f>$AG9*AX$8+$AH9*AX$9+$AI9*AX$10+$AJ9*AX$11+$AK9*AX$12+$AL9*AX$13+$AM9*AX$14+$AN9*AX$15+$AO9*AX$16+$AP9*AX$17+$AQ9*AX$18+$AR9*AX$19+$AS9*AX$20+AX$7</f>
        <v>0.20105346929517745</v>
      </c>
      <c r="BD9" s="1">
        <f t="shared" ref="BD9:BD43" si="17">$AG9*AY$8+$AH9*AY$9+$AI9*AY$10+$AJ9*AY$11+$AK9*AY$12+$AL9*AY$13+$AM9*AY$14+$AN9*AY$15+$AO9*AY$16+$AP9*AY$17+$AQ9*AY$18+$AR9*AY$19+$AS9*AY$20+AY$7</f>
        <v>2.4420951411974019</v>
      </c>
      <c r="BF9" s="1">
        <f t="shared" ref="BF9:BF43" si="18">1/(1+EXP(-BB9))</f>
        <v>0.74664795244907423</v>
      </c>
      <c r="BG9" s="1">
        <f t="shared" ref="BG9:BG43" si="19">1/(1+EXP(-BC9))</f>
        <v>0.55009473470941894</v>
      </c>
      <c r="BH9" s="1">
        <f t="shared" ref="BH9:BH43" si="20">1/(1+EXP(-BD9))</f>
        <v>0.91998145862745861</v>
      </c>
      <c r="BI9" s="17"/>
      <c r="BJ9" s="1">
        <f t="shared" ref="BJ9:BJ43" si="21">AW$24*$BF9+AW$25*$BG9+AW$26*$BH9+AW$23</f>
        <v>0.15910279213403888</v>
      </c>
      <c r="BK9" s="1">
        <f t="shared" ref="BK9:BK43" si="22">AX$24*$BF9+AX$25*$BG9+AX$26*$BH9+AX$23</f>
        <v>1.5153042833659245</v>
      </c>
      <c r="BL9" s="1">
        <f t="shared" ref="BL9:BL43" si="23">AY$24*$BF9+AY$25*$BG9+AY$26*$BH9+AY$23</f>
        <v>0.57292519159061739</v>
      </c>
      <c r="BM9" s="1">
        <f t="shared" ref="BM9:BM43" si="24">AZ$24*$BF9+AZ$25*$BG9+AZ$26*$BH9+AZ$23</f>
        <v>-0.26327114504840021</v>
      </c>
      <c r="BN9" s="17"/>
      <c r="BO9" s="1">
        <f>1/(1+EXP(-BJ9))</f>
        <v>0.53969200405202733</v>
      </c>
      <c r="BP9" s="1">
        <f>1/(1+EXP(-BK9))</f>
        <v>0.81984597138930659</v>
      </c>
      <c r="BQ9" s="1">
        <f>1/(1+EXP(-BL9))</f>
        <v>0.6394378734953059</v>
      </c>
      <c r="BR9" s="1">
        <f>1/(1+EXP(-BM9))</f>
        <v>0.43455975898855359</v>
      </c>
      <c r="BT9" s="1">
        <f t="shared" ref="BT9:BT43" si="25">$BO9*AW$30+$BP9*AW$31+$BQ9*AW$32+$BR9*AW$33+AW$29</f>
        <v>-0.85010366699866036</v>
      </c>
      <c r="BU9" s="1">
        <f t="shared" ref="BU9:BU43" si="26">$BO9*AX$30+$BP9*AX$31+$BQ9*AX$32+$BR9*AX$33+AX$29</f>
        <v>-0.80180853516204642</v>
      </c>
      <c r="BV9" s="1">
        <f>$BO9*AY$30+$BP9*AY$31+$BQ9*AY$32+$BR9*AY$33+AY$29</f>
        <v>-0.90430325125644673</v>
      </c>
      <c r="BX9" s="1">
        <f t="shared" ref="BX9:BX43" si="27">1/(1+EXP(-BT9))</f>
        <v>0.29941111145940408</v>
      </c>
      <c r="BY9" s="1">
        <f>1/(1+EXP(-BU9))</f>
        <v>0.30963878864118144</v>
      </c>
      <c r="BZ9" s="1">
        <f t="shared" ref="BZ9:BZ43" si="28">1/(1+EXP(-BV9))</f>
        <v>0.28816698131087498</v>
      </c>
      <c r="CA9" s="21">
        <f t="shared" ref="CA9:CA43" si="29">MATCH(MAX(BX9:BZ9), BX9:BZ9, 0)-1</f>
        <v>1</v>
      </c>
      <c r="CB9" s="6">
        <f>wine_dataset_test_split[[#This Row],[target]]</f>
        <v>2</v>
      </c>
      <c r="CC9" s="6">
        <v>2</v>
      </c>
    </row>
    <row r="10" spans="1:84" x14ac:dyDescent="0.2">
      <c r="B10" s="1">
        <v>14.23</v>
      </c>
      <c r="C10" s="1">
        <v>1.71</v>
      </c>
      <c r="D10" s="1">
        <v>2.4300000000000002</v>
      </c>
      <c r="E10" s="1">
        <v>15.6</v>
      </c>
      <c r="F10" s="1">
        <v>127</v>
      </c>
      <c r="G10" s="1">
        <v>2.8</v>
      </c>
      <c r="H10" s="1">
        <v>3.06</v>
      </c>
      <c r="I10" s="1">
        <v>0.28000000000000003</v>
      </c>
      <c r="J10" s="1">
        <v>2.29</v>
      </c>
      <c r="K10" s="1">
        <v>5.64</v>
      </c>
      <c r="L10" s="1">
        <v>1.04</v>
      </c>
      <c r="M10" s="1">
        <v>3.92</v>
      </c>
      <c r="N10" s="1">
        <v>1065</v>
      </c>
      <c r="O10" s="1">
        <v>0</v>
      </c>
      <c r="R10" s="1">
        <f t="shared" si="4"/>
        <v>0.12105263157894752</v>
      </c>
      <c r="S10" s="1">
        <f t="shared" si="5"/>
        <v>-0.35968379446640319</v>
      </c>
      <c r="T10" s="1">
        <f t="shared" si="6"/>
        <v>0.40106951871657737</v>
      </c>
      <c r="U10" s="1">
        <f t="shared" si="7"/>
        <v>-0.1752577319587626</v>
      </c>
      <c r="V10" s="1">
        <f t="shared" si="8"/>
        <v>-0.32608695652173914</v>
      </c>
      <c r="W10" s="1">
        <f t="shared" si="9"/>
        <v>0.25517241379310329</v>
      </c>
      <c r="X10" s="1">
        <f t="shared" si="10"/>
        <v>0.22362869198312252</v>
      </c>
      <c r="Y10" s="1">
        <f t="shared" si="11"/>
        <v>-0.35849056603773599</v>
      </c>
      <c r="Z10" s="1">
        <f t="shared" si="12"/>
        <v>0.51419558359621442</v>
      </c>
      <c r="AA10" s="1">
        <f t="shared" si="13"/>
        <v>-0.24914675767918104</v>
      </c>
      <c r="AB10" s="1">
        <f t="shared" si="14"/>
        <v>-0.10569105691056901</v>
      </c>
      <c r="AC10" s="1">
        <f t="shared" si="15"/>
        <v>0.39194139194139188</v>
      </c>
      <c r="AD10" s="1">
        <f t="shared" si="16"/>
        <v>0.29386590584878736</v>
      </c>
      <c r="AE10" s="1">
        <v>0</v>
      </c>
      <c r="AG10" s="1">
        <v>0.49473684210526298</v>
      </c>
      <c r="AH10" s="1">
        <v>-0.54150197628458496</v>
      </c>
      <c r="AI10" s="1">
        <v>0.54010695187165703</v>
      </c>
      <c r="AJ10" s="1">
        <v>-9.2783505154639206E-2</v>
      </c>
      <c r="AK10" s="1">
        <v>-0.19565217391304299</v>
      </c>
      <c r="AL10" s="1">
        <v>0.35862068965517202</v>
      </c>
      <c r="AM10" s="1">
        <v>0.10970464135021001</v>
      </c>
      <c r="AN10" s="1">
        <v>-9.4339622641509399E-2</v>
      </c>
      <c r="AO10" s="1">
        <v>-0.148264984227129</v>
      </c>
      <c r="AP10" s="1">
        <v>-0.45051194539249101</v>
      </c>
      <c r="AQ10" s="1">
        <v>0.25203252032520301</v>
      </c>
      <c r="AR10" s="1">
        <v>0.56043956043956</v>
      </c>
      <c r="AS10" s="1">
        <v>-9.1298145506419195E-2</v>
      </c>
      <c r="AT10" s="1">
        <v>0</v>
      </c>
      <c r="AV10" s="8" t="s">
        <v>2</v>
      </c>
      <c r="AW10" s="1">
        <v>-1.278969</v>
      </c>
      <c r="AX10" s="1">
        <v>0.73879600000000001</v>
      </c>
      <c r="AY10" s="1">
        <v>-2.5505E-2</v>
      </c>
      <c r="AZ10" s="17"/>
      <c r="BB10" s="1">
        <f>$AG10*AW$8+$AH10*AW$9+$AI10*AW$10+$AJ10*AW$11+$AK10*AW$12+$AL10*AW$13+$AM10*AW$14+$AN10*AW$15+$AO10*AW$16+$AP10*AW$17+$AQ10*AW$18+$AR10*AW$19+$AS10*AW$20+AW$7</f>
        <v>-1.9147002398775315E-2</v>
      </c>
      <c r="BC10" s="1">
        <f>$AG10*AX$8+$AH10*AX$9+$AI10*AX$10+$AJ10*AX$11+$AK10*AX$12+$AL10*AX$13+$AM10*AX$14+$AN10*AX$15+$AO10*AX$16+$AP10*AX$17+$AQ10*AX$18+$AR10*AX$19+$AS10*AX$20+AX$7</f>
        <v>2.5218284988127384</v>
      </c>
      <c r="BD10" s="1">
        <f t="shared" si="17"/>
        <v>-1.1909343486167928E-2</v>
      </c>
      <c r="BF10" s="1">
        <f t="shared" si="18"/>
        <v>0.49521339563324779</v>
      </c>
      <c r="BG10" s="1">
        <f t="shared" si="19"/>
        <v>0.92565798147240674</v>
      </c>
      <c r="BH10" s="1">
        <f t="shared" si="20"/>
        <v>0.4970226993181987</v>
      </c>
      <c r="BI10" s="17"/>
      <c r="BJ10" s="1">
        <f t="shared" si="21"/>
        <v>-0.36779013671163263</v>
      </c>
      <c r="BK10" s="1">
        <f t="shared" si="22"/>
        <v>0.81095288831891299</v>
      </c>
      <c r="BL10" s="1">
        <f t="shared" si="23"/>
        <v>-2.1390719303131744E-2</v>
      </c>
      <c r="BM10" s="1">
        <f t="shared" si="24"/>
        <v>-0.94654223043577079</v>
      </c>
      <c r="BN10" s="17"/>
      <c r="BO10" s="1">
        <f>1/(1+EXP(-BJ10))</f>
        <v>0.40907511017528225</v>
      </c>
      <c r="BP10" s="1">
        <f>1/(1+EXP(-BK10))</f>
        <v>0.69231252184694902</v>
      </c>
      <c r="BQ10" s="1">
        <f>1/(1+EXP(-BL10))</f>
        <v>0.49465252407319921</v>
      </c>
      <c r="BR10" s="1">
        <f>1/(1+EXP(-BM10))</f>
        <v>0.27958073874899508</v>
      </c>
      <c r="BT10" s="1">
        <f t="shared" si="25"/>
        <v>-0.38310442061340488</v>
      </c>
      <c r="BU10" s="1">
        <f t="shared" si="26"/>
        <v>-0.71748518223015778</v>
      </c>
      <c r="BV10" s="1">
        <f t="shared" ref="BV9:BV43" si="30">$BO10*AY$30+$BP10*AY$31+$BQ10*AY$32+$BR10*AY$33+AY$29</f>
        <v>-1.0888691191651874</v>
      </c>
      <c r="BX10" s="1">
        <f t="shared" si="27"/>
        <v>0.40537836730086207</v>
      </c>
      <c r="BY10" s="1">
        <f t="shared" ref="BY9:BY43" si="31">1/(1+EXP(-BU10))</f>
        <v>0.32794700314477698</v>
      </c>
      <c r="BZ10" s="1">
        <f t="shared" si="28"/>
        <v>0.25183129043817337</v>
      </c>
      <c r="CA10" s="6">
        <f t="shared" si="29"/>
        <v>0</v>
      </c>
      <c r="CB10" s="6">
        <f>wine_dataset_test_split[[#This Row],[target]]</f>
        <v>0</v>
      </c>
      <c r="CC10" s="6">
        <v>0</v>
      </c>
    </row>
    <row r="11" spans="1:84" x14ac:dyDescent="0.2">
      <c r="B11" s="1">
        <v>13.2</v>
      </c>
      <c r="C11" s="1">
        <v>1.78</v>
      </c>
      <c r="D11" s="1">
        <v>2.14</v>
      </c>
      <c r="E11" s="1">
        <v>11.2</v>
      </c>
      <c r="F11" s="1">
        <v>100</v>
      </c>
      <c r="G11" s="1">
        <v>2.65</v>
      </c>
      <c r="H11" s="1">
        <v>2.76</v>
      </c>
      <c r="I11" s="1">
        <v>0.26</v>
      </c>
      <c r="J11" s="1">
        <v>1.28</v>
      </c>
      <c r="K11" s="1">
        <v>4.38</v>
      </c>
      <c r="L11" s="1">
        <v>1.05</v>
      </c>
      <c r="M11" s="1">
        <v>3.4</v>
      </c>
      <c r="N11" s="1">
        <v>1050</v>
      </c>
      <c r="O11" s="1">
        <v>0</v>
      </c>
      <c r="R11" s="1">
        <f t="shared" si="4"/>
        <v>0.75789473684210495</v>
      </c>
      <c r="S11" s="1">
        <f t="shared" si="5"/>
        <v>-0.52173913043478259</v>
      </c>
      <c r="T11" s="1">
        <f t="shared" si="6"/>
        <v>0.21925133689839571</v>
      </c>
      <c r="U11" s="1">
        <f t="shared" si="7"/>
        <v>-0.36082474226804107</v>
      </c>
      <c r="V11" s="1">
        <f t="shared" si="8"/>
        <v>-6.5217391304347783E-2</v>
      </c>
      <c r="W11" s="1">
        <f t="shared" si="9"/>
        <v>0.97931034482758639</v>
      </c>
      <c r="X11" s="1">
        <f t="shared" si="10"/>
        <v>0.32911392405063311</v>
      </c>
      <c r="Y11" s="1">
        <f t="shared" si="11"/>
        <v>-0.58490566037735858</v>
      </c>
      <c r="Z11" s="1">
        <f t="shared" si="12"/>
        <v>0.11671924290220836</v>
      </c>
      <c r="AA11" s="1">
        <f t="shared" si="13"/>
        <v>0.11262798634812277</v>
      </c>
      <c r="AB11" s="1">
        <f t="shared" si="14"/>
        <v>-0.38211382113821135</v>
      </c>
      <c r="AC11" s="1">
        <f t="shared" si="15"/>
        <v>0.59706959706959717</v>
      </c>
      <c r="AD11" s="1">
        <f t="shared" si="16"/>
        <v>0.71469329529243941</v>
      </c>
      <c r="AE11" s="1">
        <v>0</v>
      </c>
      <c r="AG11" s="1">
        <v>-0.72105263157894595</v>
      </c>
      <c r="AH11" s="1">
        <v>-0.48221343873517702</v>
      </c>
      <c r="AI11" s="1">
        <v>0.999999999999999</v>
      </c>
      <c r="AJ11" s="1">
        <v>0.84536082474226804</v>
      </c>
      <c r="AK11" s="1">
        <v>6.5217391304348102E-2</v>
      </c>
      <c r="AL11" s="1">
        <v>0.51724137931034497</v>
      </c>
      <c r="AM11" s="1">
        <v>0.999999999999999</v>
      </c>
      <c r="AN11" s="1">
        <v>0.28301886792452802</v>
      </c>
      <c r="AO11" s="1">
        <v>-7.8864353312302696E-2</v>
      </c>
      <c r="AP11" s="1">
        <v>-0.19453924914675699</v>
      </c>
      <c r="AQ11" s="1">
        <v>-0.26829268292682901</v>
      </c>
      <c r="AR11" s="1">
        <v>0.77289377289377204</v>
      </c>
      <c r="AS11" s="1">
        <v>-0.73323823109843</v>
      </c>
      <c r="AT11" s="1">
        <v>1</v>
      </c>
      <c r="AV11" s="8" t="s">
        <v>3</v>
      </c>
      <c r="AW11" s="1">
        <v>0.76474500000000001</v>
      </c>
      <c r="AX11" s="1">
        <v>-1.2362759999999999</v>
      </c>
      <c r="AY11" s="1">
        <v>0.95440999999999998</v>
      </c>
      <c r="AZ11" s="17"/>
      <c r="BB11" s="1">
        <f>$AG11*AW$8+$AH11*AW$9+$AI11*AW$10+$AJ11*AW$11+$AK11*AW$12+$AL11*AW$13+$AM11*AW$14+$AN11*AW$15+$AO11*AW$16+$AP11*AW$17+$AQ11*AW$18+$AR11*AW$19+$AS11*AW$20+AW$7</f>
        <v>1.0703975009565181</v>
      </c>
      <c r="BC11" s="1">
        <f>$AG11*AX$8+$AH11*AX$9+$AI11*AX$10+$AJ11*AX$11+$AK11*AX$12+$AL11*AX$13+$AM11*AX$14+$AN11*AX$15+$AO11*AX$16+$AP11*AX$17+$AQ11*AX$18+$AR11*AX$19+$AS11*AX$20+AX$7</f>
        <v>0.45689005914460046</v>
      </c>
      <c r="BD11" s="1">
        <f t="shared" si="17"/>
        <v>0.93204831865462168</v>
      </c>
      <c r="BF11" s="1">
        <f t="shared" si="18"/>
        <v>0.74467250216794756</v>
      </c>
      <c r="BG11" s="1">
        <f t="shared" si="19"/>
        <v>0.61227615292827331</v>
      </c>
      <c r="BH11" s="1">
        <f t="shared" si="20"/>
        <v>0.71749066010419471</v>
      </c>
      <c r="BI11" s="17"/>
      <c r="BJ11" s="1">
        <f t="shared" si="21"/>
        <v>-0.15621557875763004</v>
      </c>
      <c r="BK11" s="1">
        <f t="shared" si="22"/>
        <v>1.4129091336004658</v>
      </c>
      <c r="BL11" s="1">
        <f t="shared" si="23"/>
        <v>0.34218514154939805</v>
      </c>
      <c r="BM11" s="1">
        <f t="shared" si="24"/>
        <v>-0.52950886862511226</v>
      </c>
      <c r="BN11" s="17"/>
      <c r="BO11" s="1">
        <f>1/(1+EXP(-BJ11))</f>
        <v>0.46102533232471521</v>
      </c>
      <c r="BP11" s="1">
        <f>1/(1+EXP(-BK11))</f>
        <v>0.80422438492617776</v>
      </c>
      <c r="BQ11" s="1">
        <f>1/(1+EXP(-BL11))</f>
        <v>0.58472122210003374</v>
      </c>
      <c r="BR11" s="1">
        <f>1/(1+EXP(-BM11))</f>
        <v>0.37063144391113051</v>
      </c>
      <c r="BT11" s="1">
        <f t="shared" si="25"/>
        <v>-0.67228306616771794</v>
      </c>
      <c r="BU11" s="1">
        <f t="shared" si="26"/>
        <v>-0.69947680850589766</v>
      </c>
      <c r="BV11" s="1">
        <f t="shared" si="30"/>
        <v>-1.0088322340890459</v>
      </c>
      <c r="BX11" s="1">
        <f t="shared" si="27"/>
        <v>0.33798581273685141</v>
      </c>
      <c r="BY11" s="1">
        <f t="shared" si="31"/>
        <v>0.33192823632672691</v>
      </c>
      <c r="BZ11" s="1">
        <f t="shared" si="28"/>
        <v>0.26720844660799725</v>
      </c>
      <c r="CA11" s="21">
        <f t="shared" si="29"/>
        <v>0</v>
      </c>
      <c r="CB11" s="6">
        <f>wine_dataset_test_split[[#This Row],[target]]</f>
        <v>1</v>
      </c>
      <c r="CC11" s="6">
        <v>1</v>
      </c>
    </row>
    <row r="12" spans="1:84" x14ac:dyDescent="0.2">
      <c r="B12" s="1">
        <v>13.16</v>
      </c>
      <c r="C12" s="1">
        <v>2.36</v>
      </c>
      <c r="D12" s="1">
        <v>2.67</v>
      </c>
      <c r="E12" s="1">
        <v>18.600000000000001</v>
      </c>
      <c r="F12" s="1">
        <v>101</v>
      </c>
      <c r="G12" s="1">
        <v>2.8</v>
      </c>
      <c r="H12" s="1">
        <v>3.24</v>
      </c>
      <c r="I12" s="1">
        <v>0.3</v>
      </c>
      <c r="J12" s="1">
        <v>2.81</v>
      </c>
      <c r="K12" s="1">
        <v>5.68</v>
      </c>
      <c r="L12" s="1">
        <v>1.03</v>
      </c>
      <c r="M12" s="1">
        <v>3.17</v>
      </c>
      <c r="N12" s="1">
        <v>1185</v>
      </c>
      <c r="O12" s="1">
        <v>0</v>
      </c>
      <c r="R12" s="1">
        <f t="shared" si="4"/>
        <v>0.16315789473684239</v>
      </c>
      <c r="S12" s="1">
        <f t="shared" si="5"/>
        <v>-0.26877470355731226</v>
      </c>
      <c r="T12" s="1">
        <f t="shared" si="6"/>
        <v>0.61497326203208558</v>
      </c>
      <c r="U12" s="1">
        <f t="shared" si="7"/>
        <v>7.2164948453608435E-2</v>
      </c>
      <c r="V12" s="1">
        <f t="shared" si="8"/>
        <v>4.3478260869565188E-2</v>
      </c>
      <c r="W12" s="1">
        <f t="shared" si="9"/>
        <v>0.25517241379310329</v>
      </c>
      <c r="X12" s="1">
        <f t="shared" si="10"/>
        <v>-8.4388185654008518E-3</v>
      </c>
      <c r="Y12" s="1">
        <f t="shared" si="11"/>
        <v>-1.8867924528301883E-2</v>
      </c>
      <c r="Z12" s="1">
        <f t="shared" si="12"/>
        <v>-0.11041009463722384</v>
      </c>
      <c r="AA12" s="1">
        <f t="shared" si="13"/>
        <v>-0.48122866894197958</v>
      </c>
      <c r="AB12" s="1">
        <f t="shared" si="14"/>
        <v>-8.9430894308943021E-2</v>
      </c>
      <c r="AC12" s="1">
        <f t="shared" si="15"/>
        <v>0.21611721611721624</v>
      </c>
      <c r="AD12" s="1">
        <f t="shared" si="16"/>
        <v>-0.34807417974322397</v>
      </c>
      <c r="AE12" s="1">
        <v>0</v>
      </c>
      <c r="AG12" s="1">
        <v>0.38947368421052603</v>
      </c>
      <c r="AH12" s="1">
        <v>-0.79841897233201498</v>
      </c>
      <c r="AI12" s="1">
        <v>-0.40106951871657698</v>
      </c>
      <c r="AJ12" s="1">
        <v>-0.23711340206185499</v>
      </c>
      <c r="AK12" s="1">
        <v>-0.47826086956521702</v>
      </c>
      <c r="AL12" s="1">
        <v>-0.22758620689655101</v>
      </c>
      <c r="AM12" s="1">
        <v>-0.38818565400843802</v>
      </c>
      <c r="AN12" s="1">
        <v>-0.28301886792452802</v>
      </c>
      <c r="AO12" s="1">
        <v>-0.79810725552050399</v>
      </c>
      <c r="AP12" s="1">
        <v>-0.56996587030716706</v>
      </c>
      <c r="AQ12" s="1">
        <v>0.219512195121951</v>
      </c>
      <c r="AR12" s="1">
        <v>-0.128205128205128</v>
      </c>
      <c r="AS12" s="1">
        <v>-0.49786019971469297</v>
      </c>
      <c r="AT12" s="1">
        <v>1</v>
      </c>
      <c r="AV12" s="8" t="s">
        <v>4</v>
      </c>
      <c r="AW12" s="1">
        <v>-0.28846500000000003</v>
      </c>
      <c r="AX12" s="1">
        <v>-0.80086900000000005</v>
      </c>
      <c r="AY12" s="1">
        <v>-0.71161799999999997</v>
      </c>
      <c r="AZ12" s="17"/>
      <c r="BB12" s="1">
        <f>$AG12*AW$8+$AH12*AW$9+$AI12*AW$10+$AJ12*AW$11+$AK12*AW$12+$AL12*AW$13+$AM12*AW$14+$AN12*AW$15+$AO12*AW$16+$AP12*AW$17+$AQ12*AW$18+$AR12*AW$19+$AS12*AW$20+AW$7</f>
        <v>1.5095705197668403</v>
      </c>
      <c r="BC12" s="1">
        <f>$AG12*AX$8+$AH12*AX$9+$AI12*AX$10+$AJ12*AX$11+$AK12*AX$12+$AL12*AX$13+$AM12*AX$14+$AN12*AX$15+$AO12*AX$16+$AP12*AX$17+$AQ12*AX$18+$AR12*AX$19+$AS12*AX$20+AX$7</f>
        <v>1.8515699952064582</v>
      </c>
      <c r="BD12" s="1">
        <f t="shared" si="17"/>
        <v>1.3490254140442863</v>
      </c>
      <c r="BF12" s="1">
        <f t="shared" si="18"/>
        <v>0.81899754917831069</v>
      </c>
      <c r="BG12" s="1">
        <f t="shared" si="19"/>
        <v>0.86431133305101215</v>
      </c>
      <c r="BH12" s="1">
        <f t="shared" si="20"/>
        <v>0.79397024964847585</v>
      </c>
      <c r="BI12" s="17"/>
      <c r="BJ12" s="1">
        <f t="shared" si="21"/>
        <v>-0.37836058996680122</v>
      </c>
      <c r="BK12" s="1">
        <f t="shared" si="22"/>
        <v>1.4199263970385911</v>
      </c>
      <c r="BL12" s="1">
        <f t="shared" si="23"/>
        <v>0.43305980823710832</v>
      </c>
      <c r="BM12" s="1">
        <f t="shared" si="24"/>
        <v>-0.71578484986829971</v>
      </c>
      <c r="BN12" s="17"/>
      <c r="BO12" s="1">
        <f>1/(1+EXP(-BJ12))</f>
        <v>0.40652236360387839</v>
      </c>
      <c r="BP12" s="1">
        <f>1/(1+EXP(-BK12))</f>
        <v>0.80532687752682142</v>
      </c>
      <c r="BQ12" s="1">
        <f>1/(1+EXP(-BL12))</f>
        <v>0.60660408519486708</v>
      </c>
      <c r="BR12" s="1">
        <f>1/(1+EXP(-BM12))</f>
        <v>0.32832186217292708</v>
      </c>
      <c r="BT12" s="1">
        <f t="shared" si="25"/>
        <v>-0.63025999260552301</v>
      </c>
      <c r="BU12" s="1">
        <f t="shared" si="26"/>
        <v>-0.58023501148915813</v>
      </c>
      <c r="BV12" s="1">
        <f t="shared" si="30"/>
        <v>-1.0983484669109156</v>
      </c>
      <c r="BX12" s="1">
        <f t="shared" si="27"/>
        <v>0.34745158761079081</v>
      </c>
      <c r="BY12" s="1">
        <f t="shared" si="31"/>
        <v>0.35887851931755999</v>
      </c>
      <c r="BZ12" s="1">
        <f t="shared" si="28"/>
        <v>0.25004946984199211</v>
      </c>
      <c r="CA12" s="6">
        <f t="shared" si="29"/>
        <v>1</v>
      </c>
      <c r="CB12" s="6">
        <f>wine_dataset_test_split[[#This Row],[target]]</f>
        <v>1</v>
      </c>
      <c r="CC12" s="6">
        <v>1</v>
      </c>
    </row>
    <row r="13" spans="1:84" x14ac:dyDescent="0.2">
      <c r="B13" s="1">
        <v>14.37</v>
      </c>
      <c r="C13" s="1">
        <v>1.95</v>
      </c>
      <c r="D13" s="1">
        <v>2.5</v>
      </c>
      <c r="E13" s="1">
        <v>16.8</v>
      </c>
      <c r="F13" s="1">
        <v>113</v>
      </c>
      <c r="G13" s="1">
        <v>3.85</v>
      </c>
      <c r="H13" s="1">
        <v>3.49</v>
      </c>
      <c r="I13" s="1">
        <v>0.24</v>
      </c>
      <c r="J13" s="1">
        <v>2.1800000000000002</v>
      </c>
      <c r="K13" s="1">
        <v>7.8</v>
      </c>
      <c r="L13" s="1">
        <v>0.86</v>
      </c>
      <c r="M13" s="1">
        <v>3.45</v>
      </c>
      <c r="N13" s="1">
        <v>1480</v>
      </c>
      <c r="O13" s="1">
        <v>0</v>
      </c>
      <c r="R13" s="1">
        <f t="shared" si="4"/>
        <v>0.66842105263157858</v>
      </c>
      <c r="S13" s="1">
        <f t="shared" si="5"/>
        <v>-0.59683794466403151</v>
      </c>
      <c r="T13" s="1">
        <f t="shared" si="6"/>
        <v>0.16577540106951894</v>
      </c>
      <c r="U13" s="1">
        <f t="shared" si="7"/>
        <v>-0.52577319587628868</v>
      </c>
      <c r="V13" s="1">
        <f t="shared" si="8"/>
        <v>-8.6956521739130488E-2</v>
      </c>
      <c r="W13" s="1">
        <f t="shared" si="9"/>
        <v>0.57931034482758625</v>
      </c>
      <c r="X13" s="1">
        <f t="shared" si="10"/>
        <v>0.28691983122362874</v>
      </c>
      <c r="Y13" s="1">
        <f t="shared" si="11"/>
        <v>-0.20754716981132071</v>
      </c>
      <c r="Z13" s="1">
        <f t="shared" si="12"/>
        <v>-1.577287066246047E-2</v>
      </c>
      <c r="AA13" s="1">
        <f t="shared" si="13"/>
        <v>-6.6552901023890887E-2</v>
      </c>
      <c r="AB13" s="1">
        <f t="shared" si="14"/>
        <v>-7.3170731707316916E-2</v>
      </c>
      <c r="AC13" s="1">
        <f t="shared" si="15"/>
        <v>0.15750915750915762</v>
      </c>
      <c r="AD13" s="1">
        <f t="shared" si="16"/>
        <v>0.67189728958630535</v>
      </c>
      <c r="AE13" s="1">
        <v>0</v>
      </c>
      <c r="AG13" s="1">
        <v>0.47368421052631499</v>
      </c>
      <c r="AH13" s="1">
        <v>-0.64031620553359603</v>
      </c>
      <c r="AI13" s="1">
        <v>0.32620320855614898</v>
      </c>
      <c r="AJ13" s="1">
        <v>-0.31958762886597902</v>
      </c>
      <c r="AK13" s="1">
        <v>-0.47826086956521702</v>
      </c>
      <c r="AL13" s="1">
        <v>1.37931034482761E-2</v>
      </c>
      <c r="AM13" s="1">
        <v>0.118143459915611</v>
      </c>
      <c r="AN13" s="1">
        <v>-0.660377358490566</v>
      </c>
      <c r="AO13" s="1">
        <v>0.18611987381703399</v>
      </c>
      <c r="AP13" s="1">
        <v>-0.26279863481228599</v>
      </c>
      <c r="AQ13" s="1">
        <v>0.23577235772357699</v>
      </c>
      <c r="AR13" s="1">
        <v>0.53846153846153799</v>
      </c>
      <c r="AS13" s="1">
        <v>0.40798858773181101</v>
      </c>
      <c r="AT13" s="1">
        <v>0</v>
      </c>
      <c r="AV13" s="8" t="s">
        <v>5</v>
      </c>
      <c r="AW13" s="1">
        <v>-0.165301</v>
      </c>
      <c r="AX13" s="1">
        <v>6.3896999999999995E-2</v>
      </c>
      <c r="AY13" s="1">
        <v>-0.346943</v>
      </c>
      <c r="AZ13" s="17"/>
      <c r="BB13" s="1">
        <f>$AG13*AW$8+$AH13*AW$9+$AI13*AW$10+$AJ13*AW$11+$AK13*AW$12+$AL13*AW$13+$AM13*AW$14+$AN13*AW$15+$AO13*AW$16+$AP13*AW$17+$AQ13*AW$18+$AR13*AW$19+$AS13*AW$20+AW$7</f>
        <v>-0.19614741550511178</v>
      </c>
      <c r="BC13" s="1">
        <f>$AG13*AX$8+$AH13*AX$9+$AI13*AX$10+$AJ13*AX$11+$AK13*AX$12+$AL13*AX$13+$AM13*AX$14+$AN13*AX$15+$AO13*AX$16+$AP13*AX$17+$AQ13*AX$18+$AR13*AX$19+$AS13*AX$20+AX$7</f>
        <v>2.9524040031744678</v>
      </c>
      <c r="BD13" s="1">
        <f t="shared" si="17"/>
        <v>-0.3002796840446989</v>
      </c>
      <c r="BF13" s="1">
        <f t="shared" si="18"/>
        <v>0.45111976313027224</v>
      </c>
      <c r="BG13" s="1">
        <f t="shared" si="19"/>
        <v>0.95037698543322469</v>
      </c>
      <c r="BH13" s="1">
        <f t="shared" si="20"/>
        <v>0.42548911352289548</v>
      </c>
      <c r="BI13" s="17"/>
      <c r="BJ13" s="1">
        <f t="shared" si="21"/>
        <v>-0.42109933386535925</v>
      </c>
      <c r="BK13" s="1">
        <f t="shared" si="22"/>
        <v>0.70927375611667798</v>
      </c>
      <c r="BL13" s="1">
        <f t="shared" si="23"/>
        <v>-0.1191799497878463</v>
      </c>
      <c r="BM13" s="1">
        <f t="shared" si="24"/>
        <v>-1.0253233766751941</v>
      </c>
      <c r="BN13" s="17"/>
      <c r="BO13" s="1">
        <f>1/(1+EXP(-BJ13))</f>
        <v>0.3962537191463355</v>
      </c>
      <c r="BP13" s="1">
        <f>1/(1+EXP(-BK13))</f>
        <v>0.67024066660426207</v>
      </c>
      <c r="BQ13" s="1">
        <f>1/(1+EXP(-BL13))</f>
        <v>0.47024022951913469</v>
      </c>
      <c r="BR13" s="1">
        <f>1/(1+EXP(-BM13))</f>
        <v>0.26399176915254363</v>
      </c>
      <c r="BT13" s="1">
        <f t="shared" si="25"/>
        <v>-0.31544423118294196</v>
      </c>
      <c r="BU13" s="1">
        <f t="shared" si="26"/>
        <v>-0.72616186636289415</v>
      </c>
      <c r="BV13" s="1">
        <f t="shared" si="30"/>
        <v>-1.100308531171198</v>
      </c>
      <c r="BX13" s="1">
        <f t="shared" si="27"/>
        <v>0.42178642308100833</v>
      </c>
      <c r="BY13" s="1">
        <f t="shared" si="31"/>
        <v>0.32603754385805156</v>
      </c>
      <c r="BZ13" s="1">
        <f t="shared" si="28"/>
        <v>0.24968208942025569</v>
      </c>
      <c r="CA13" s="6">
        <f t="shared" si="29"/>
        <v>0</v>
      </c>
      <c r="CB13" s="6">
        <f>wine_dataset_test_split[[#This Row],[target]]</f>
        <v>0</v>
      </c>
      <c r="CC13" s="6">
        <v>0</v>
      </c>
    </row>
    <row r="14" spans="1:84" x14ac:dyDescent="0.2">
      <c r="B14" s="1">
        <v>13.24</v>
      </c>
      <c r="C14" s="1">
        <v>2.59</v>
      </c>
      <c r="D14" s="1">
        <v>2.87</v>
      </c>
      <c r="E14" s="1">
        <v>21</v>
      </c>
      <c r="F14" s="1">
        <v>118</v>
      </c>
      <c r="G14" s="1">
        <v>2.8</v>
      </c>
      <c r="H14" s="1">
        <v>2.69</v>
      </c>
      <c r="I14" s="1">
        <v>0.39</v>
      </c>
      <c r="J14" s="1">
        <v>1.82</v>
      </c>
      <c r="K14" s="1">
        <v>4.32</v>
      </c>
      <c r="L14" s="1">
        <v>1.04</v>
      </c>
      <c r="M14" s="1">
        <v>2.93</v>
      </c>
      <c r="N14" s="1">
        <v>735</v>
      </c>
      <c r="O14" s="1">
        <v>0</v>
      </c>
      <c r="R14" s="1">
        <f t="shared" si="4"/>
        <v>0.76842105263157934</v>
      </c>
      <c r="S14" s="1">
        <f t="shared" si="5"/>
        <v>-0.55335968379446632</v>
      </c>
      <c r="T14" s="1">
        <f t="shared" si="6"/>
        <v>0.16577540106951894</v>
      </c>
      <c r="U14" s="1">
        <f t="shared" si="7"/>
        <v>-0.58762886597938135</v>
      </c>
      <c r="V14" s="1">
        <f t="shared" si="8"/>
        <v>-0.43478260869565222</v>
      </c>
      <c r="W14" s="1">
        <f t="shared" si="9"/>
        <v>4.8275862068965614E-2</v>
      </c>
      <c r="X14" s="1">
        <f t="shared" si="10"/>
        <v>-8.0168776371308037E-2</v>
      </c>
      <c r="Y14" s="1">
        <f t="shared" si="11"/>
        <v>-0.35849056603773599</v>
      </c>
      <c r="Z14" s="1">
        <f t="shared" si="12"/>
        <v>-9.4637223974762819E-3</v>
      </c>
      <c r="AA14" s="1">
        <f t="shared" si="13"/>
        <v>-0.3225255972696246</v>
      </c>
      <c r="AB14" s="1">
        <f t="shared" si="14"/>
        <v>-0.12195121951219501</v>
      </c>
      <c r="AC14" s="1">
        <f t="shared" si="15"/>
        <v>0.69230769230769229</v>
      </c>
      <c r="AD14" s="1">
        <f t="shared" si="16"/>
        <v>0.4436519258202567</v>
      </c>
      <c r="AE14" s="1">
        <v>0</v>
      </c>
      <c r="AG14" s="1">
        <v>0.59473684210526301</v>
      </c>
      <c r="AH14" s="1">
        <v>-0.44268774703557301</v>
      </c>
      <c r="AI14" s="1">
        <v>0.33689839572192398</v>
      </c>
      <c r="AJ14" s="1">
        <v>-0.27835051546391698</v>
      </c>
      <c r="AK14" s="1">
        <v>0.108695652173913</v>
      </c>
      <c r="AL14" s="1">
        <v>0.11724137931034501</v>
      </c>
      <c r="AM14" s="1">
        <v>-8.4388185654008699E-2</v>
      </c>
      <c r="AN14" s="1">
        <v>-0.320754716981132</v>
      </c>
      <c r="AO14" s="1">
        <v>-0.470031545741324</v>
      </c>
      <c r="AP14" s="1">
        <v>-0.356655290102389</v>
      </c>
      <c r="AQ14" s="1">
        <v>-5.6910569105690798E-2</v>
      </c>
      <c r="AR14" s="1">
        <v>0.69230769230769196</v>
      </c>
      <c r="AS14" s="1">
        <v>0.45078459343794502</v>
      </c>
      <c r="AT14" s="1">
        <v>0</v>
      </c>
      <c r="AV14" s="8" t="s">
        <v>6</v>
      </c>
      <c r="AW14" s="1">
        <v>2.0465000000000001E-2</v>
      </c>
      <c r="AX14" s="1">
        <v>0.24878</v>
      </c>
      <c r="AY14" s="1">
        <v>-0.401893</v>
      </c>
      <c r="AZ14" s="17"/>
      <c r="BB14" s="1">
        <f>$AG14*AW$8+$AH14*AW$9+$AI14*AW$10+$AJ14*AW$11+$AK14*AW$12+$AL14*AW$13+$AM14*AW$14+$AN14*AW$15+$AO14*AW$16+$AP14*AW$17+$AQ14*AW$18+$AR14*AW$19+$AS14*AW$20+AW$7</f>
        <v>-1.1317474690818328</v>
      </c>
      <c r="BC14" s="1">
        <f>$AG14*AX$8+$AH14*AX$9+$AI14*AX$10+$AJ14*AX$11+$AK14*AX$12+$AL14*AX$13+$AM14*AX$14+$AN14*AX$15+$AO14*AX$16+$AP14*AX$17+$AQ14*AX$18+$AR14*AX$19+$AS14*AX$20+AX$7</f>
        <v>2.717933255372651</v>
      </c>
      <c r="BD14" s="1">
        <f t="shared" si="17"/>
        <v>0.20597328469701995</v>
      </c>
      <c r="BF14" s="1">
        <f t="shared" si="18"/>
        <v>0.24383875586919812</v>
      </c>
      <c r="BG14" s="1">
        <f t="shared" si="19"/>
        <v>0.93807658744828981</v>
      </c>
      <c r="BH14" s="1">
        <f t="shared" si="20"/>
        <v>0.55131203990093047</v>
      </c>
      <c r="BI14" s="17"/>
      <c r="BJ14" s="1">
        <f t="shared" si="21"/>
        <v>4.2547188764167632E-2</v>
      </c>
      <c r="BK14" s="1">
        <f t="shared" si="22"/>
        <v>0.45147495951544658</v>
      </c>
      <c r="BL14" s="1">
        <f t="shared" si="23"/>
        <v>-5.5124341044077374E-2</v>
      </c>
      <c r="BM14" s="1">
        <f t="shared" si="24"/>
        <v>-0.79872209069992539</v>
      </c>
      <c r="BN14" s="17"/>
      <c r="BO14" s="1">
        <f>1/(1+EXP(-BJ14))</f>
        <v>0.5106351928645263</v>
      </c>
      <c r="BP14" s="1">
        <f>1/(1+EXP(-BK14))</f>
        <v>0.61098986150761259</v>
      </c>
      <c r="BQ14" s="1">
        <f>1/(1+EXP(-BL14))</f>
        <v>0.48622240338613992</v>
      </c>
      <c r="BR14" s="1">
        <f>1/(1+EXP(-BM14))</f>
        <v>0.31029894240481104</v>
      </c>
      <c r="BT14" s="1">
        <f t="shared" si="25"/>
        <v>-0.41212298507634704</v>
      </c>
      <c r="BU14" s="1">
        <f t="shared" si="26"/>
        <v>-0.94662942124047444</v>
      </c>
      <c r="BV14" s="1">
        <f t="shared" si="30"/>
        <v>-0.96365548895949105</v>
      </c>
      <c r="BX14" s="1">
        <f t="shared" si="27"/>
        <v>0.39840317857026236</v>
      </c>
      <c r="BY14" s="1">
        <f t="shared" si="31"/>
        <v>0.27956317752012477</v>
      </c>
      <c r="BZ14" s="1">
        <f t="shared" si="28"/>
        <v>0.27614690235580891</v>
      </c>
      <c r="CA14" s="6">
        <f t="shared" si="29"/>
        <v>0</v>
      </c>
      <c r="CB14" s="6">
        <f>wine_dataset_test_split[[#This Row],[target]]</f>
        <v>0</v>
      </c>
      <c r="CC14" s="6">
        <v>0</v>
      </c>
    </row>
    <row r="15" spans="1:84" x14ac:dyDescent="0.2">
      <c r="B15" s="1">
        <v>14.2</v>
      </c>
      <c r="C15" s="1">
        <v>1.76</v>
      </c>
      <c r="D15" s="1">
        <v>2.4500000000000002</v>
      </c>
      <c r="E15" s="1">
        <v>15.2</v>
      </c>
      <c r="F15" s="1">
        <v>112</v>
      </c>
      <c r="G15" s="1">
        <v>3.27</v>
      </c>
      <c r="H15" s="1">
        <v>3.39</v>
      </c>
      <c r="I15" s="1">
        <v>0.34</v>
      </c>
      <c r="J15" s="1">
        <v>1.97</v>
      </c>
      <c r="K15" s="1">
        <v>6.75</v>
      </c>
      <c r="L15" s="1">
        <v>1.05</v>
      </c>
      <c r="M15" s="1">
        <v>2.85</v>
      </c>
      <c r="N15" s="1">
        <v>1450</v>
      </c>
      <c r="O15" s="1">
        <v>0</v>
      </c>
      <c r="R15" s="1">
        <f t="shared" si="4"/>
        <v>0.59473684210526345</v>
      </c>
      <c r="S15" s="1">
        <f t="shared" si="5"/>
        <v>-0.44268774703557312</v>
      </c>
      <c r="T15" s="1">
        <f t="shared" si="6"/>
        <v>0.33689839572192493</v>
      </c>
      <c r="U15" s="1">
        <f t="shared" si="7"/>
        <v>-0.27835051546391731</v>
      </c>
      <c r="V15" s="1">
        <f t="shared" si="8"/>
        <v>0.10869565217391308</v>
      </c>
      <c r="W15" s="1">
        <f t="shared" si="9"/>
        <v>0.11724137931034484</v>
      </c>
      <c r="X15" s="1">
        <f t="shared" si="10"/>
        <v>-8.4388185654008518E-2</v>
      </c>
      <c r="Y15" s="1">
        <f t="shared" si="11"/>
        <v>-0.32075471698113212</v>
      </c>
      <c r="Z15" s="1">
        <f t="shared" si="12"/>
        <v>-0.47003154574132489</v>
      </c>
      <c r="AA15" s="1">
        <f t="shared" si="13"/>
        <v>-0.35665529010238917</v>
      </c>
      <c r="AB15" s="1">
        <f t="shared" si="14"/>
        <v>-5.6910569105690922E-2</v>
      </c>
      <c r="AC15" s="1">
        <f t="shared" si="15"/>
        <v>0.69230769230769229</v>
      </c>
      <c r="AD15" s="1">
        <f t="shared" si="16"/>
        <v>0.45078459343794575</v>
      </c>
      <c r="AE15" s="1">
        <v>0</v>
      </c>
      <c r="AG15" s="1">
        <v>9.4736842105262994E-2</v>
      </c>
      <c r="AH15" s="1">
        <v>-0.89328063241106703</v>
      </c>
      <c r="AI15" s="1">
        <v>-0.63636363636363602</v>
      </c>
      <c r="AJ15" s="1">
        <v>-0.54639175257731898</v>
      </c>
      <c r="AK15" s="1">
        <v>-0.82608695652173803</v>
      </c>
      <c r="AL15" s="1">
        <v>0.37931034482758602</v>
      </c>
      <c r="AM15" s="1">
        <v>0.19831223628691899</v>
      </c>
      <c r="AN15" s="1">
        <v>-0.50943396226415005</v>
      </c>
      <c r="AO15" s="1">
        <v>0.17981072555204999</v>
      </c>
      <c r="AP15" s="1">
        <v>-0.31399317406143301</v>
      </c>
      <c r="AQ15" s="1">
        <v>4.0650406504065303E-2</v>
      </c>
      <c r="AR15" s="1">
        <v>0.39926739926739901</v>
      </c>
      <c r="AS15" s="1">
        <v>-0.680456490727532</v>
      </c>
      <c r="AT15" s="1">
        <v>1</v>
      </c>
      <c r="AV15" s="8" t="s">
        <v>7</v>
      </c>
      <c r="AW15" s="1">
        <v>0.13159999999999999</v>
      </c>
      <c r="AX15" s="1">
        <v>-0.55745400000000001</v>
      </c>
      <c r="AY15" s="1">
        <v>9.3648999999999996E-2</v>
      </c>
      <c r="AZ15" s="17"/>
      <c r="BB15" s="1">
        <f>$AG15*AW$8+$AH15*AW$9+$AI15*AW$10+$AJ15*AW$11+$AK15*AW$12+$AL15*AW$13+$AM15*AW$14+$AN15*AW$15+$AO15*AW$16+$AP15*AW$17+$AQ15*AW$18+$AR15*AW$19+$AS15*AW$20+AW$7</f>
        <v>2.251236967972245</v>
      </c>
      <c r="BC15" s="1">
        <f>$AG15*AX$8+$AH15*AX$9+$AI15*AX$10+$AJ15*AX$11+$AK15*AX$12+$AL15*AX$13+$AM15*AX$14+$AN15*AX$15+$AO15*AX$16+$AP15*AX$17+$AQ15*AX$18+$AR15*AX$19+$AS15*AX$20+AX$7</f>
        <v>2.5444443292913261</v>
      </c>
      <c r="BD15" s="1">
        <f t="shared" si="17"/>
        <v>0.18387330393774215</v>
      </c>
      <c r="BF15" s="1">
        <f t="shared" si="18"/>
        <v>0.90475718002189731</v>
      </c>
      <c r="BG15" s="1">
        <f t="shared" si="19"/>
        <v>0.92719939198783785</v>
      </c>
      <c r="BH15" s="1">
        <f t="shared" si="20"/>
        <v>0.54583924893949698</v>
      </c>
      <c r="BI15" s="17"/>
      <c r="BJ15" s="1">
        <f t="shared" si="21"/>
        <v>-0.87608897076307057</v>
      </c>
      <c r="BK15" s="1">
        <f t="shared" si="22"/>
        <v>1.4314912090798808</v>
      </c>
      <c r="BL15" s="1">
        <f t="shared" si="23"/>
        <v>0.18404277117146395</v>
      </c>
      <c r="BM15" s="1">
        <f t="shared" si="24"/>
        <v>-1.0658781936092372</v>
      </c>
      <c r="BN15" s="17"/>
      <c r="BO15" s="1">
        <f>1/(1+EXP(-BJ15))</f>
        <v>0.29398889532208394</v>
      </c>
      <c r="BP15" s="1">
        <f>1/(1+EXP(-BK15))</f>
        <v>0.80713355708396939</v>
      </c>
      <c r="BQ15" s="1">
        <f>1/(1+EXP(-BL15))</f>
        <v>0.54588125933070142</v>
      </c>
      <c r="BR15" s="1">
        <f>1/(1+EXP(-BM15))</f>
        <v>0.25618772772696946</v>
      </c>
      <c r="BT15" s="1">
        <f t="shared" si="25"/>
        <v>-0.42249597787626958</v>
      </c>
      <c r="BU15" s="1">
        <f t="shared" si="26"/>
        <v>-0.42102145208991704</v>
      </c>
      <c r="BV15" s="1">
        <f t="shared" si="30"/>
        <v>-1.234486666890362</v>
      </c>
      <c r="BX15" s="1">
        <f t="shared" si="27"/>
        <v>0.39591963909060546</v>
      </c>
      <c r="BY15" s="1">
        <f t="shared" si="31"/>
        <v>0.39627235147653855</v>
      </c>
      <c r="BZ15" s="1">
        <f t="shared" si="28"/>
        <v>0.22539711895107581</v>
      </c>
      <c r="CA15" s="6">
        <f t="shared" si="29"/>
        <v>1</v>
      </c>
      <c r="CB15" s="6">
        <f>wine_dataset_test_split[[#This Row],[target]]</f>
        <v>1</v>
      </c>
      <c r="CC15" s="6">
        <v>1</v>
      </c>
    </row>
    <row r="16" spans="1:84" x14ac:dyDescent="0.2">
      <c r="B16" s="1">
        <v>14.39</v>
      </c>
      <c r="C16" s="1">
        <v>1.87</v>
      </c>
      <c r="D16" s="1">
        <v>2.4500000000000002</v>
      </c>
      <c r="E16" s="1">
        <v>14.6</v>
      </c>
      <c r="F16" s="1">
        <v>96</v>
      </c>
      <c r="G16" s="1">
        <v>2.5</v>
      </c>
      <c r="H16" s="1">
        <v>2.52</v>
      </c>
      <c r="I16" s="1">
        <v>0.3</v>
      </c>
      <c r="J16" s="1">
        <v>1.98</v>
      </c>
      <c r="K16" s="1">
        <v>5.25</v>
      </c>
      <c r="L16" s="1">
        <v>1.02</v>
      </c>
      <c r="M16" s="1">
        <v>3.58</v>
      </c>
      <c r="N16" s="1">
        <v>1290</v>
      </c>
      <c r="O16" s="1">
        <v>0</v>
      </c>
      <c r="R16" s="1">
        <f t="shared" si="4"/>
        <v>1</v>
      </c>
      <c r="S16" s="1">
        <f t="shared" si="5"/>
        <v>-0.64426877470355737</v>
      </c>
      <c r="T16" s="1">
        <f t="shared" si="6"/>
        <v>-0.1336898395721926</v>
      </c>
      <c r="U16" s="1">
        <f t="shared" si="7"/>
        <v>-0.64948453608247414</v>
      </c>
      <c r="V16" s="1">
        <f t="shared" si="8"/>
        <v>-0.41304347826086951</v>
      </c>
      <c r="W16" s="1">
        <f t="shared" si="9"/>
        <v>0.25517241379310329</v>
      </c>
      <c r="X16" s="1">
        <f t="shared" si="10"/>
        <v>0.11392405063291133</v>
      </c>
      <c r="Y16" s="1">
        <f t="shared" si="11"/>
        <v>-0.39622641509433976</v>
      </c>
      <c r="Z16" s="1">
        <f t="shared" si="12"/>
        <v>-9.4637223974762819E-3</v>
      </c>
      <c r="AA16" s="1">
        <f t="shared" si="13"/>
        <v>-0.33105802047781574</v>
      </c>
      <c r="AB16" s="1">
        <f t="shared" si="14"/>
        <v>-2.4390243902438824E-2</v>
      </c>
      <c r="AC16" s="1">
        <f t="shared" si="15"/>
        <v>0.15750915750915762</v>
      </c>
      <c r="AD16" s="1">
        <f t="shared" si="16"/>
        <v>9.4151212553494901E-2</v>
      </c>
      <c r="AE16" s="1">
        <v>0</v>
      </c>
      <c r="AG16" s="1">
        <v>-0.46842105263157902</v>
      </c>
      <c r="AH16" s="1">
        <v>0.407114624505928</v>
      </c>
      <c r="AI16" s="1">
        <v>9.0909090909090301E-2</v>
      </c>
      <c r="AJ16" s="1">
        <v>0.17525773195876301</v>
      </c>
      <c r="AK16" s="1">
        <v>-0.78260869565217295</v>
      </c>
      <c r="AL16" s="1">
        <v>-0.22758620689655101</v>
      </c>
      <c r="AM16" s="1">
        <v>-0.40506329113924</v>
      </c>
      <c r="AN16" s="1">
        <v>9.4339622641509399E-2</v>
      </c>
      <c r="AO16" s="1">
        <v>-0.40694006309148201</v>
      </c>
      <c r="AP16" s="1">
        <v>-0.77474402730375402</v>
      </c>
      <c r="AQ16" s="1">
        <v>-0.49593495934959297</v>
      </c>
      <c r="AR16" s="1">
        <v>-4.7619047619047603E-2</v>
      </c>
      <c r="AS16" s="1">
        <v>-0.56918687589158301</v>
      </c>
      <c r="AT16" s="1">
        <v>1</v>
      </c>
      <c r="AV16" s="8" t="s">
        <v>8</v>
      </c>
      <c r="AW16" s="1">
        <v>0.58740999999999999</v>
      </c>
      <c r="AX16" s="1">
        <v>-0.36992599999999998</v>
      </c>
      <c r="AY16" s="1">
        <v>-0.877529</v>
      </c>
      <c r="AZ16" s="17"/>
      <c r="BB16" s="1">
        <f>$AG16*AW$8+$AH16*AW$9+$AI16*AW$10+$AJ16*AW$11+$AK16*AW$12+$AL16*AW$13+$AM16*AW$14+$AN16*AW$15+$AO16*AW$16+$AP16*AW$17+$AQ16*AW$18+$AR16*AW$19+$AS16*AW$20+AW$7</f>
        <v>1.2700229358764108</v>
      </c>
      <c r="BC16" s="1">
        <f>$AG16*AX$8+$AH16*AX$9+$AI16*AX$10+$AJ16*AX$11+$AK16*AX$12+$AL16*AX$13+$AM16*AX$14+$AN16*AX$15+$AO16*AX$16+$AP16*AX$17+$AQ16*AX$18+$AR16*AX$19+$AS16*AX$20+AX$7</f>
        <v>0.21056667710957155</v>
      </c>
      <c r="BD16" s="1">
        <f t="shared" si="17"/>
        <v>2.0181881027775992</v>
      </c>
      <c r="BF16" s="1">
        <f t="shared" si="18"/>
        <v>0.78074667413066412</v>
      </c>
      <c r="BG16" s="1">
        <f t="shared" si="19"/>
        <v>0.55244802419963168</v>
      </c>
      <c r="BH16" s="1">
        <f t="shared" si="20"/>
        <v>0.8826935250728265</v>
      </c>
      <c r="BI16" s="17"/>
      <c r="BJ16" s="1">
        <f t="shared" si="21"/>
        <v>6.0900159558845202E-2</v>
      </c>
      <c r="BK16" s="1">
        <f t="shared" si="22"/>
        <v>1.5519905725545278</v>
      </c>
      <c r="BL16" s="1">
        <f t="shared" si="23"/>
        <v>0.54394965226237535</v>
      </c>
      <c r="BM16" s="1">
        <f t="shared" si="24"/>
        <v>-0.31798952357955879</v>
      </c>
      <c r="BN16" s="17"/>
      <c r="BO16" s="1">
        <f>1/(1+EXP(-BJ16))</f>
        <v>0.51522033604460615</v>
      </c>
      <c r="BP16" s="1">
        <f>1/(1+EXP(-BK16))</f>
        <v>0.82520104643396963</v>
      </c>
      <c r="BQ16" s="1">
        <f>1/(1+EXP(-BL16))</f>
        <v>0.63273072823689769</v>
      </c>
      <c r="BR16" s="1">
        <f>1/(1+EXP(-BM16))</f>
        <v>0.42116579434855983</v>
      </c>
      <c r="BT16" s="1">
        <f t="shared" si="25"/>
        <v>-0.81772957915103395</v>
      </c>
      <c r="BU16" s="1">
        <f t="shared" si="26"/>
        <v>-0.76047987703472097</v>
      </c>
      <c r="BV16" s="1">
        <f t="shared" si="30"/>
        <v>-0.93442412270138664</v>
      </c>
      <c r="BX16" s="1">
        <f t="shared" si="27"/>
        <v>0.30624581964529646</v>
      </c>
      <c r="BY16" s="1">
        <f t="shared" si="31"/>
        <v>0.31854208878121149</v>
      </c>
      <c r="BZ16" s="1">
        <f t="shared" si="28"/>
        <v>0.282028018544415</v>
      </c>
      <c r="CA16" s="6">
        <f t="shared" si="29"/>
        <v>1</v>
      </c>
      <c r="CB16" s="6">
        <f>wine_dataset_test_split[[#This Row],[target]]</f>
        <v>1</v>
      </c>
      <c r="CC16" s="6">
        <v>1</v>
      </c>
    </row>
    <row r="17" spans="2:84" x14ac:dyDescent="0.2">
      <c r="B17" s="1">
        <v>14.06</v>
      </c>
      <c r="C17" s="1">
        <v>2.15</v>
      </c>
      <c r="D17" s="1">
        <v>2.61</v>
      </c>
      <c r="E17" s="1">
        <v>17.600000000000001</v>
      </c>
      <c r="F17" s="1">
        <v>121</v>
      </c>
      <c r="G17" s="1">
        <v>2.6</v>
      </c>
      <c r="H17" s="1">
        <v>2.5099999999999998</v>
      </c>
      <c r="I17" s="1">
        <v>0.31</v>
      </c>
      <c r="J17" s="1">
        <v>1.25</v>
      </c>
      <c r="K17" s="1">
        <v>5.05</v>
      </c>
      <c r="L17" s="1">
        <v>1.06</v>
      </c>
      <c r="M17" s="1">
        <v>3.58</v>
      </c>
      <c r="N17" s="1">
        <v>1295</v>
      </c>
      <c r="O17" s="1">
        <v>0</v>
      </c>
      <c r="R17" s="1">
        <f t="shared" si="4"/>
        <v>0.48947368421052606</v>
      </c>
      <c r="S17" s="1">
        <f t="shared" si="5"/>
        <v>-0.75889328063241102</v>
      </c>
      <c r="T17" s="1">
        <f t="shared" si="6"/>
        <v>-2.6737967914438499E-2</v>
      </c>
      <c r="U17" s="1">
        <f t="shared" si="7"/>
        <v>-0.44329896907216482</v>
      </c>
      <c r="V17" s="1">
        <f t="shared" si="8"/>
        <v>-0.39130434782608692</v>
      </c>
      <c r="W17" s="1">
        <f t="shared" si="9"/>
        <v>0.3793103448275863</v>
      </c>
      <c r="X17" s="1">
        <f t="shared" si="10"/>
        <v>0.18565400843881852</v>
      </c>
      <c r="Y17" s="1">
        <f t="shared" si="11"/>
        <v>-0.66037735849056611</v>
      </c>
      <c r="Z17" s="1">
        <f t="shared" si="12"/>
        <v>-9.1482649842271169E-2</v>
      </c>
      <c r="AA17" s="1">
        <f t="shared" si="13"/>
        <v>1.3651877133105561E-2</v>
      </c>
      <c r="AB17" s="1">
        <f t="shared" si="14"/>
        <v>-0.13821138211382111</v>
      </c>
      <c r="AC17" s="1">
        <f t="shared" si="15"/>
        <v>0.67032967032967017</v>
      </c>
      <c r="AD17" s="1">
        <f t="shared" si="16"/>
        <v>9.4151212553494901E-2</v>
      </c>
      <c r="AE17" s="1">
        <v>0</v>
      </c>
      <c r="AG17" s="1">
        <v>0.27368421052631497</v>
      </c>
      <c r="AH17" s="1">
        <v>0.1699604743083</v>
      </c>
      <c r="AI17" s="1">
        <v>0.32620320855614898</v>
      </c>
      <c r="AJ17" s="1">
        <v>0.27835051546391698</v>
      </c>
      <c r="AK17" s="1">
        <v>-0.108695652173912</v>
      </c>
      <c r="AL17" s="1">
        <v>-0.50344827586206797</v>
      </c>
      <c r="AM17" s="1">
        <v>-0.75527426160337496</v>
      </c>
      <c r="AN17" s="1">
        <v>0.13207547169811301</v>
      </c>
      <c r="AO17" s="1">
        <v>-0.337539432176656</v>
      </c>
      <c r="AP17" s="1">
        <v>0.60409556313993096</v>
      </c>
      <c r="AQ17" s="1">
        <v>-0.39837398373983701</v>
      </c>
      <c r="AR17" s="1">
        <v>-0.78754578754578697</v>
      </c>
      <c r="AS17" s="1">
        <v>-0.40513552068473602</v>
      </c>
      <c r="AT17" s="1">
        <v>2</v>
      </c>
      <c r="AV17" s="8" t="s">
        <v>9</v>
      </c>
      <c r="AW17" s="1">
        <v>-0.64804399999999995</v>
      </c>
      <c r="AX17" s="1">
        <v>-0.44695000000000001</v>
      </c>
      <c r="AY17" s="1">
        <v>-8.1263000000000002E-2</v>
      </c>
      <c r="AZ17" s="17"/>
      <c r="BB17" s="1">
        <f>$AG17*AW$8+$AH17*AW$9+$AI17*AW$10+$AJ17*AW$11+$AK17*AW$12+$AL17*AW$13+$AM17*AW$14+$AN17*AW$15+$AO17*AW$16+$AP17*AW$17+$AQ17*AW$18+$AR17*AW$19+$AS17*AW$20+AW$7</f>
        <v>-0.48109497362178849</v>
      </c>
      <c r="BC17" s="1">
        <f>$AG17*AX$8+$AH17*AX$9+$AI17*AX$10+$AJ17*AX$11+$AK17*AX$12+$AL17*AX$13+$AM17*AX$14+$AN17*AX$15+$AO17*AX$16+$AP17*AX$17+$AQ17*AX$18+$AR17*AX$19+$AS17*AX$20+AX$7</f>
        <v>-0.91523134870116041</v>
      </c>
      <c r="BD17" s="1">
        <f t="shared" si="17"/>
        <v>1.7206844320378565</v>
      </c>
      <c r="BF17" s="1">
        <f t="shared" si="18"/>
        <v>0.3819935965131348</v>
      </c>
      <c r="BG17" s="1">
        <f t="shared" si="19"/>
        <v>0.2859305354326066</v>
      </c>
      <c r="BH17" s="1">
        <f t="shared" si="20"/>
        <v>0.84821697450667821</v>
      </c>
      <c r="BI17" s="17"/>
      <c r="BJ17" s="1">
        <f t="shared" si="21"/>
        <v>0.80245159709698877</v>
      </c>
      <c r="BK17" s="1">
        <f t="shared" si="22"/>
        <v>1.0871700715093557</v>
      </c>
      <c r="BL17" s="1">
        <f t="shared" si="23"/>
        <v>0.38099387036164167</v>
      </c>
      <c r="BM17" s="1">
        <f t="shared" si="24"/>
        <v>5.8494111522893411E-2</v>
      </c>
      <c r="BN17" s="17"/>
      <c r="BO17" s="1">
        <f>1/(1+EXP(-BJ17))</f>
        <v>0.6904986571258861</v>
      </c>
      <c r="BP17" s="1">
        <f>1/(1+EXP(-BK17))</f>
        <v>0.7478484531402364</v>
      </c>
      <c r="BQ17" s="1">
        <f>1/(1+EXP(-BL17))</f>
        <v>0.59411278999846895</v>
      </c>
      <c r="BR17" s="1">
        <f>1/(1+EXP(-BM17))</f>
        <v>0.51461935969906214</v>
      </c>
      <c r="BT17" s="1">
        <f t="shared" si="25"/>
        <v>-0.90896227150977116</v>
      </c>
      <c r="BU17" s="1">
        <f t="shared" si="26"/>
        <v>-1.1523857163236531</v>
      </c>
      <c r="BV17" s="1">
        <f t="shared" si="30"/>
        <v>-0.68227089428502241</v>
      </c>
      <c r="BX17" s="1">
        <f t="shared" si="27"/>
        <v>0.2872122355231303</v>
      </c>
      <c r="BY17" s="1">
        <f t="shared" si="31"/>
        <v>0.24005359204864216</v>
      </c>
      <c r="BZ17" s="1">
        <f t="shared" si="28"/>
        <v>0.33575465112763386</v>
      </c>
      <c r="CA17" s="6">
        <f t="shared" si="29"/>
        <v>2</v>
      </c>
      <c r="CB17" s="6">
        <f>wine_dataset_test_split[[#This Row],[target]]</f>
        <v>2</v>
      </c>
      <c r="CC17" s="6">
        <v>2</v>
      </c>
    </row>
    <row r="18" spans="2:84" x14ac:dyDescent="0.2">
      <c r="B18" s="1">
        <v>14.83</v>
      </c>
      <c r="C18" s="1">
        <v>1.64</v>
      </c>
      <c r="D18" s="1">
        <v>2.17</v>
      </c>
      <c r="E18" s="1">
        <v>14</v>
      </c>
      <c r="F18" s="1">
        <v>97</v>
      </c>
      <c r="G18" s="1">
        <v>2.8</v>
      </c>
      <c r="H18" s="1">
        <v>2.98</v>
      </c>
      <c r="I18" s="1">
        <v>0.28999999999999998</v>
      </c>
      <c r="J18" s="1">
        <v>1.98</v>
      </c>
      <c r="K18" s="1">
        <v>5.2</v>
      </c>
      <c r="L18" s="1">
        <v>1.08</v>
      </c>
      <c r="M18" s="1">
        <v>2.85</v>
      </c>
      <c r="N18" s="1">
        <v>1045</v>
      </c>
      <c r="O18" s="1">
        <v>0</v>
      </c>
      <c r="R18" s="1">
        <f t="shared" si="4"/>
        <v>0.61578947368421044</v>
      </c>
      <c r="S18" s="1">
        <f t="shared" si="5"/>
        <v>-0.43873517786561256</v>
      </c>
      <c r="T18" s="1">
        <f t="shared" si="6"/>
        <v>5.3475935828874999E-3</v>
      </c>
      <c r="U18" s="1">
        <f t="shared" si="7"/>
        <v>-0.2371134020618556</v>
      </c>
      <c r="V18" s="1">
        <f t="shared" si="8"/>
        <v>-0.23913043478260865</v>
      </c>
      <c r="W18" s="1">
        <f t="shared" si="9"/>
        <v>0.35862068965517269</v>
      </c>
      <c r="X18" s="1">
        <f t="shared" si="10"/>
        <v>0.2573839662447257</v>
      </c>
      <c r="Y18" s="1">
        <f t="shared" si="11"/>
        <v>-0.66037735849056611</v>
      </c>
      <c r="Z18" s="1">
        <f t="shared" si="12"/>
        <v>0.24290220820189279</v>
      </c>
      <c r="AA18" s="1">
        <f t="shared" si="13"/>
        <v>-0.2372013651877134</v>
      </c>
      <c r="AB18" s="1">
        <f t="shared" si="14"/>
        <v>0.2520325203252034</v>
      </c>
      <c r="AC18" s="1">
        <f t="shared" si="15"/>
        <v>0.39194139194139188</v>
      </c>
      <c r="AD18" s="1">
        <f t="shared" si="16"/>
        <v>0.75748930099857348</v>
      </c>
      <c r="AE18" s="1">
        <v>0</v>
      </c>
      <c r="AG18" s="1">
        <v>-0.31052631578947298</v>
      </c>
      <c r="AH18" s="1">
        <v>-0.32411067193675802</v>
      </c>
      <c r="AI18" s="1">
        <v>0.17647058823529299</v>
      </c>
      <c r="AJ18" s="1">
        <v>7.2164948453608393E-2</v>
      </c>
      <c r="AK18" s="1">
        <v>-0.39130434782608597</v>
      </c>
      <c r="AL18" s="1">
        <v>8.9655172413793199E-2</v>
      </c>
      <c r="AM18" s="1">
        <v>-0.253164556962025</v>
      </c>
      <c r="AN18" s="1">
        <v>-0.20754716981131999</v>
      </c>
      <c r="AO18" s="1">
        <v>-0.43217665615141898</v>
      </c>
      <c r="AP18" s="1">
        <v>-0.74061433447098901</v>
      </c>
      <c r="AQ18" s="1">
        <v>-0.47967479674796698</v>
      </c>
      <c r="AR18" s="1">
        <v>0.54578754578754496</v>
      </c>
      <c r="AS18" s="1">
        <v>-0.77175463623395102</v>
      </c>
      <c r="AT18" s="1">
        <v>1</v>
      </c>
      <c r="AV18" s="8" t="s">
        <v>10</v>
      </c>
      <c r="AW18" s="1">
        <v>0.82392200000000004</v>
      </c>
      <c r="AX18" s="1">
        <v>-0.27152300000000001</v>
      </c>
      <c r="AY18" s="1">
        <v>-1.14693</v>
      </c>
      <c r="AZ18" s="17"/>
      <c r="BB18" s="1">
        <f>$AG18*AW$8+$AH18*AW$9+$AI18*AW$10+$AJ18*AW$11+$AK18*AW$12+$AL18*AW$13+$AM18*AW$14+$AN18*AW$15+$AO18*AW$16+$AP18*AW$17+$AQ18*AW$18+$AR18*AW$19+$AS18*AW$20+AW$7</f>
        <v>1.2531181223917671</v>
      </c>
      <c r="BC18" s="1">
        <f>$AG18*AX$8+$AH18*AX$9+$AI18*AX$10+$AJ18*AX$11+$AK18*AX$12+$AL18*AX$13+$AM18*AX$14+$AN18*AX$15+$AO18*AX$16+$AP18*AX$17+$AQ18*AX$18+$AR18*AX$19+$AS18*AX$20+AX$7</f>
        <v>1.6230174528940065</v>
      </c>
      <c r="BD18" s="1">
        <f t="shared" si="17"/>
        <v>1.7012017483978299</v>
      </c>
      <c r="BF18" s="1">
        <f t="shared" si="18"/>
        <v>0.7778391563459689</v>
      </c>
      <c r="BG18" s="1">
        <f t="shared" si="19"/>
        <v>0.83521085314891907</v>
      </c>
      <c r="BH18" s="1">
        <f t="shared" si="20"/>
        <v>0.8456916249967984</v>
      </c>
      <c r="BI18" s="17"/>
      <c r="BJ18" s="1">
        <f t="shared" si="21"/>
        <v>-0.22831519385067334</v>
      </c>
      <c r="BK18" s="1">
        <f t="shared" si="22"/>
        <v>1.391269242526759</v>
      </c>
      <c r="BL18" s="1">
        <f t="shared" si="23"/>
        <v>0.47772183172475657</v>
      </c>
      <c r="BM18" s="1">
        <f t="shared" si="24"/>
        <v>-0.61834797676069397</v>
      </c>
      <c r="BN18" s="17"/>
      <c r="BO18" s="1">
        <f>1/(1+EXP(-BJ18))</f>
        <v>0.44316786529366875</v>
      </c>
      <c r="BP18" s="1">
        <f>1/(1+EXP(-BK18))</f>
        <v>0.80079479318532332</v>
      </c>
      <c r="BQ18" s="1">
        <f>1/(1+EXP(-BL18))</f>
        <v>0.61720977439335412</v>
      </c>
      <c r="BR18" s="1">
        <f>1/(1+EXP(-BM18))</f>
        <v>0.35015727149975151</v>
      </c>
      <c r="BT18" s="1">
        <f t="shared" si="25"/>
        <v>-0.6831630543250331</v>
      </c>
      <c r="BU18" s="1">
        <f t="shared" si="26"/>
        <v>-0.64012543301928915</v>
      </c>
      <c r="BV18" s="1">
        <f t="shared" si="30"/>
        <v>-1.0524039120236783</v>
      </c>
      <c r="BX18" s="1">
        <f t="shared" si="27"/>
        <v>0.33555570766884751</v>
      </c>
      <c r="BY18" s="1">
        <f t="shared" si="31"/>
        <v>0.34521818563869239</v>
      </c>
      <c r="BZ18" s="1">
        <f t="shared" si="28"/>
        <v>0.25876375097913557</v>
      </c>
      <c r="CA18" s="6">
        <f t="shared" si="29"/>
        <v>1</v>
      </c>
      <c r="CB18" s="6">
        <f>wine_dataset_test_split[[#This Row],[target]]</f>
        <v>1</v>
      </c>
      <c r="CC18" s="6">
        <v>1</v>
      </c>
    </row>
    <row r="19" spans="2:84" x14ac:dyDescent="0.2">
      <c r="B19" s="1">
        <v>13.86</v>
      </c>
      <c r="C19" s="1">
        <v>1.35</v>
      </c>
      <c r="D19" s="1">
        <v>2.27</v>
      </c>
      <c r="E19" s="1">
        <v>16</v>
      </c>
      <c r="F19" s="1">
        <v>98</v>
      </c>
      <c r="G19" s="1">
        <v>2.98</v>
      </c>
      <c r="H19" s="1">
        <v>3.15</v>
      </c>
      <c r="I19" s="1">
        <v>0.22</v>
      </c>
      <c r="J19" s="1">
        <v>1.85</v>
      </c>
      <c r="K19" s="1">
        <v>7.22</v>
      </c>
      <c r="L19" s="1">
        <v>1.01</v>
      </c>
      <c r="M19" s="1">
        <v>3.55</v>
      </c>
      <c r="N19" s="1">
        <v>1045</v>
      </c>
      <c r="O19" s="1">
        <v>0</v>
      </c>
      <c r="R19" s="1">
        <f t="shared" si="4"/>
        <v>0.62631578947368394</v>
      </c>
      <c r="S19" s="1">
        <f t="shared" si="5"/>
        <v>-0.70750988142292481</v>
      </c>
      <c r="T19" s="1">
        <f t="shared" si="6"/>
        <v>2.6737967914438387E-2</v>
      </c>
      <c r="U19" s="1">
        <f t="shared" si="7"/>
        <v>-0.36082474226804107</v>
      </c>
      <c r="V19" s="1">
        <f t="shared" si="8"/>
        <v>-0.45652173913043481</v>
      </c>
      <c r="W19" s="1">
        <f t="shared" si="9"/>
        <v>-0.15862068965517229</v>
      </c>
      <c r="X19" s="1">
        <f t="shared" si="10"/>
        <v>-0.1181434599156117</v>
      </c>
      <c r="Y19" s="1">
        <f t="shared" si="11"/>
        <v>-0.50943396226415094</v>
      </c>
      <c r="Z19" s="1">
        <f t="shared" si="12"/>
        <v>-0.26813880126182954</v>
      </c>
      <c r="AA19" s="1">
        <f t="shared" si="13"/>
        <v>-0.36518771331058031</v>
      </c>
      <c r="AB19" s="1">
        <f t="shared" si="14"/>
        <v>0.12195121951219501</v>
      </c>
      <c r="AC19" s="1">
        <f t="shared" si="15"/>
        <v>0.13553113553113549</v>
      </c>
      <c r="AD19" s="1">
        <f t="shared" si="16"/>
        <v>0.42938659058487882</v>
      </c>
      <c r="AE19" s="1">
        <v>0</v>
      </c>
      <c r="AG19" s="1">
        <v>0.36315789473684201</v>
      </c>
      <c r="AH19" s="1">
        <v>0.66403162055335896</v>
      </c>
      <c r="AI19" s="1">
        <v>5.8823529411764497E-2</v>
      </c>
      <c r="AJ19" s="1">
        <v>-3.0927835051546199E-2</v>
      </c>
      <c r="AK19" s="1">
        <v>-0.52173913043478204</v>
      </c>
      <c r="AL19" s="1">
        <v>-0.29655172413793002</v>
      </c>
      <c r="AM19" s="1">
        <v>-0.80590717299577996</v>
      </c>
      <c r="AN19" s="1">
        <v>0.28301886792452802</v>
      </c>
      <c r="AO19" s="1">
        <v>-0.61514195583596198</v>
      </c>
      <c r="AP19" s="1">
        <v>-0.46757679180887302</v>
      </c>
      <c r="AQ19" s="1">
        <v>-0.30081300813008099</v>
      </c>
      <c r="AR19" s="1">
        <v>-0.42857142857142799</v>
      </c>
      <c r="AS19" s="1">
        <v>-0.61198288159771697</v>
      </c>
      <c r="AT19" s="1">
        <v>2</v>
      </c>
      <c r="AV19" s="8" t="s">
        <v>11</v>
      </c>
      <c r="AW19" s="1">
        <v>-4.2908000000000002E-2</v>
      </c>
      <c r="AX19" s="1">
        <v>1.0512410000000001</v>
      </c>
      <c r="AY19" s="1">
        <v>-0.122639</v>
      </c>
      <c r="AZ19" s="17"/>
      <c r="BB19" s="1">
        <f>$AG19*AW$8+$AH19*AW$9+$AI19*AW$10+$AJ19*AW$11+$AK19*AW$12+$AL19*AW$13+$AM19*AW$14+$AN19*AW$15+$AO19*AW$16+$AP19*AW$17+$AQ19*AW$18+$AR19*AW$19+$AS19*AW$20+AW$7</f>
        <v>0.20369416989751604</v>
      </c>
      <c r="BC19" s="1">
        <f>$AG19*AX$8+$AH19*AX$9+$AI19*AX$10+$AJ19*AX$11+$AK19*AX$12+$AL19*AX$13+$AM19*AX$14+$AN19*AX$15+$AO19*AX$16+$AP19*AX$17+$AQ19*AX$18+$AR19*AX$19+$AS19*AX$20+AX$7</f>
        <v>0.21075644241119579</v>
      </c>
      <c r="BD19" s="1">
        <f t="shared" si="17"/>
        <v>1.6983079983469409</v>
      </c>
      <c r="BF19" s="1">
        <f t="shared" si="18"/>
        <v>0.55074819624517868</v>
      </c>
      <c r="BG19" s="1">
        <f t="shared" si="19"/>
        <v>0.55249494305243341</v>
      </c>
      <c r="BH19" s="1">
        <f t="shared" si="20"/>
        <v>0.84531362055597015</v>
      </c>
      <c r="BI19" s="17"/>
      <c r="BJ19" s="1">
        <f t="shared" si="21"/>
        <v>0.3325672500164325</v>
      </c>
      <c r="BK19" s="1">
        <f t="shared" si="22"/>
        <v>1.1996967890379047</v>
      </c>
      <c r="BL19" s="1">
        <f t="shared" si="23"/>
        <v>0.41744290234014436</v>
      </c>
      <c r="BM19" s="1">
        <f t="shared" si="24"/>
        <v>-0.26211261041464906</v>
      </c>
      <c r="BN19" s="17"/>
      <c r="BO19" s="1">
        <f>1/(1+EXP(-BJ19))</f>
        <v>0.58238389688977832</v>
      </c>
      <c r="BP19" s="1">
        <f>1/(1+EXP(-BK19))</f>
        <v>0.76847083956283424</v>
      </c>
      <c r="BQ19" s="1">
        <f>1/(1+EXP(-BL19))</f>
        <v>0.60287119722782745</v>
      </c>
      <c r="BR19" s="1">
        <f>1/(1+EXP(-BM19))</f>
        <v>0.4348444528613078</v>
      </c>
      <c r="BT19" s="1">
        <f t="shared" si="25"/>
        <v>-0.80567953899064126</v>
      </c>
      <c r="BU19" s="1">
        <f t="shared" si="26"/>
        <v>-0.92153359996454143</v>
      </c>
      <c r="BV19" s="1">
        <f t="shared" si="30"/>
        <v>-0.85463261195792017</v>
      </c>
      <c r="BX19" s="1">
        <f t="shared" si="27"/>
        <v>0.3088119231031457</v>
      </c>
      <c r="BY19" s="1">
        <f t="shared" si="31"/>
        <v>0.28464551581555075</v>
      </c>
      <c r="BZ19" s="1">
        <f t="shared" si="28"/>
        <v>0.29846196528599056</v>
      </c>
      <c r="CA19" s="21">
        <f t="shared" si="29"/>
        <v>0</v>
      </c>
      <c r="CB19" s="6">
        <f>wine_dataset_test_split[[#This Row],[target]]</f>
        <v>2</v>
      </c>
      <c r="CC19" s="6">
        <v>2</v>
      </c>
    </row>
    <row r="20" spans="2:84" x14ac:dyDescent="0.2">
      <c r="B20" s="1">
        <v>14.1</v>
      </c>
      <c r="C20" s="1">
        <v>2.16</v>
      </c>
      <c r="D20" s="1">
        <v>2.2999999999999998</v>
      </c>
      <c r="E20" s="1">
        <v>18</v>
      </c>
      <c r="F20" s="1">
        <v>105</v>
      </c>
      <c r="G20" s="1">
        <v>2.95</v>
      </c>
      <c r="H20" s="1">
        <v>3.32</v>
      </c>
      <c r="I20" s="1">
        <v>0.22</v>
      </c>
      <c r="J20" s="1">
        <v>2.38</v>
      </c>
      <c r="K20" s="1">
        <v>5.75</v>
      </c>
      <c r="L20" s="1">
        <v>1.25</v>
      </c>
      <c r="M20" s="1">
        <v>3.17</v>
      </c>
      <c r="N20" s="1">
        <v>1510</v>
      </c>
      <c r="O20" s="1">
        <v>0</v>
      </c>
      <c r="R20" s="1">
        <f t="shared" si="4"/>
        <v>0.43157894736842106</v>
      </c>
      <c r="S20" s="1">
        <f t="shared" si="5"/>
        <v>-0.60869565217391308</v>
      </c>
      <c r="T20" s="1">
        <f t="shared" si="6"/>
        <v>0.12299465240641716</v>
      </c>
      <c r="U20" s="1">
        <f t="shared" si="7"/>
        <v>-0.44329896907216482</v>
      </c>
      <c r="V20" s="1">
        <f t="shared" si="8"/>
        <v>-0.58695652173913038</v>
      </c>
      <c r="W20" s="1">
        <f t="shared" si="9"/>
        <v>0.11724137931034484</v>
      </c>
      <c r="X20" s="1">
        <f t="shared" si="10"/>
        <v>2.1097046413502074E-2</v>
      </c>
      <c r="Y20" s="1">
        <f t="shared" si="11"/>
        <v>-0.39622641509433976</v>
      </c>
      <c r="Z20" s="1">
        <f t="shared" si="12"/>
        <v>-0.11671924290220814</v>
      </c>
      <c r="AA20" s="1">
        <f t="shared" si="13"/>
        <v>-0.26279863481228682</v>
      </c>
      <c r="AB20" s="1">
        <f t="shared" si="14"/>
        <v>8.9430894308943021E-2</v>
      </c>
      <c r="AC20" s="1">
        <f t="shared" si="15"/>
        <v>0.19413919413919412</v>
      </c>
      <c r="AD20" s="1">
        <f t="shared" si="16"/>
        <v>0.48644793152639076</v>
      </c>
      <c r="AE20" s="1">
        <v>0</v>
      </c>
      <c r="AG20" s="1">
        <v>0.5</v>
      </c>
      <c r="AH20" s="1">
        <v>-0.54545454545454497</v>
      </c>
      <c r="AI20" s="1">
        <v>0.31550802139037298</v>
      </c>
      <c r="AJ20" s="1">
        <v>-0.54639175257731898</v>
      </c>
      <c r="AK20" s="1">
        <v>-0.32608695652173803</v>
      </c>
      <c r="AL20" s="1">
        <v>0.56551724137931003</v>
      </c>
      <c r="AM20" s="1">
        <v>0.35864978902953498</v>
      </c>
      <c r="AN20" s="1">
        <v>-0.84905660377358405</v>
      </c>
      <c r="AO20" s="1">
        <v>-0.18611987381703399</v>
      </c>
      <c r="AP20" s="1">
        <v>-0.29180887372013598</v>
      </c>
      <c r="AQ20" s="1">
        <v>-0.34959349593495898</v>
      </c>
      <c r="AR20" s="1">
        <v>0.67765567765567702</v>
      </c>
      <c r="AS20" s="1">
        <v>0.16547788873038499</v>
      </c>
      <c r="AT20" s="1">
        <v>0</v>
      </c>
      <c r="AV20" s="8" t="s">
        <v>12</v>
      </c>
      <c r="AW20" s="1">
        <v>-0.939855</v>
      </c>
      <c r="AX20" s="1">
        <v>-6.9516999999999995E-2</v>
      </c>
      <c r="AY20" s="1">
        <v>-0.19117500000000001</v>
      </c>
      <c r="AZ20" s="17"/>
      <c r="BB20" s="1">
        <f>$AG20*AW$8+$AH20*AW$9+$AI20*AW$10+$AJ20*AW$11+$AK20*AW$12+$AL20*AW$13+$AM20*AW$14+$AN20*AW$15+$AO20*AW$16+$AP20*AW$17+$AQ20*AW$18+$AR20*AW$19+$AS20*AW$20+AW$7</f>
        <v>-1.0390349771313561</v>
      </c>
      <c r="BC20" s="1">
        <f>$AG20*AX$8+$AH20*AX$9+$AI20*AX$10+$AJ20*AX$11+$AK20*AX$12+$AL20*AX$13+$AM20*AX$14+$AN20*AX$15+$AO20*AX$16+$AP20*AX$17+$AQ20*AX$18+$AR20*AX$19+$AS20*AX$20+AX$7</f>
        <v>3.7371551688686249</v>
      </c>
      <c r="BD20" s="1">
        <f t="shared" si="17"/>
        <v>5.9544770129375604E-2</v>
      </c>
      <c r="BF20" s="1">
        <f t="shared" si="18"/>
        <v>0.2613362386434126</v>
      </c>
      <c r="BG20" s="1">
        <f t="shared" si="19"/>
        <v>0.97673249747130275</v>
      </c>
      <c r="BH20" s="1">
        <f t="shared" si="20"/>
        <v>0.51488179574281201</v>
      </c>
      <c r="BI20" s="17"/>
      <c r="BJ20" s="1">
        <f t="shared" si="21"/>
        <v>-6.2857348384295131E-2</v>
      </c>
      <c r="BK20" s="1">
        <f t="shared" si="22"/>
        <v>0.44543291375101812</v>
      </c>
      <c r="BL20" s="1">
        <f t="shared" si="23"/>
        <v>-9.2377723274987722E-2</v>
      </c>
      <c r="BM20" s="1">
        <f t="shared" si="24"/>
        <v>-0.87954016334362539</v>
      </c>
      <c r="BN20" s="17"/>
      <c r="BO20" s="1">
        <f>1/(1+EXP(-BJ20))</f>
        <v>0.48429083486651869</v>
      </c>
      <c r="BP20" s="1">
        <f>1/(1+EXP(-BK20))</f>
        <v>0.60955282119803633</v>
      </c>
      <c r="BQ20" s="1">
        <f>1/(1+EXP(-BL20))</f>
        <v>0.47692197848206497</v>
      </c>
      <c r="BR20" s="1">
        <f>1/(1+EXP(-BM20))</f>
        <v>0.29327307742092906</v>
      </c>
      <c r="BT20" s="1">
        <f t="shared" si="25"/>
        <v>-0.36713276182128696</v>
      </c>
      <c r="BU20" s="1">
        <f t="shared" si="26"/>
        <v>-0.90828219011647549</v>
      </c>
      <c r="BV20" s="1">
        <f t="shared" si="30"/>
        <v>-0.99595385852253782</v>
      </c>
      <c r="BX20" s="1">
        <f t="shared" si="27"/>
        <v>0.40923402865215286</v>
      </c>
      <c r="BY20" s="1">
        <f t="shared" si="31"/>
        <v>0.28735148286136658</v>
      </c>
      <c r="BZ20" s="1">
        <f t="shared" si="28"/>
        <v>0.26973768440461476</v>
      </c>
      <c r="CA20" s="6">
        <f t="shared" si="29"/>
        <v>0</v>
      </c>
      <c r="CB20" s="6">
        <f>wine_dataset_test_split[[#This Row],[target]]</f>
        <v>0</v>
      </c>
      <c r="CC20" s="6">
        <v>0</v>
      </c>
    </row>
    <row r="21" spans="2:84" x14ac:dyDescent="0.2">
      <c r="B21" s="1">
        <v>14.12</v>
      </c>
      <c r="C21" s="1">
        <v>1.48</v>
      </c>
      <c r="D21" s="1">
        <v>2.3199999999999998</v>
      </c>
      <c r="E21" s="1">
        <v>16.8</v>
      </c>
      <c r="F21" s="1">
        <v>95</v>
      </c>
      <c r="G21" s="1">
        <v>2.2000000000000002</v>
      </c>
      <c r="H21" s="1">
        <v>2.4300000000000002</v>
      </c>
      <c r="I21" s="1">
        <v>0.26</v>
      </c>
      <c r="J21" s="1">
        <v>1.57</v>
      </c>
      <c r="K21" s="1">
        <v>5</v>
      </c>
      <c r="L21" s="1">
        <v>1.17</v>
      </c>
      <c r="M21" s="1">
        <v>2.82</v>
      </c>
      <c r="N21" s="1">
        <v>1280</v>
      </c>
      <c r="O21" s="1">
        <v>0</v>
      </c>
      <c r="R21" s="1">
        <f t="shared" si="4"/>
        <v>0.95789473684210513</v>
      </c>
      <c r="S21" s="1">
        <f t="shared" si="5"/>
        <v>-0.60869565217391308</v>
      </c>
      <c r="T21" s="1">
        <f t="shared" si="6"/>
        <v>0.10160427807486649</v>
      </c>
      <c r="U21" s="1">
        <f t="shared" si="7"/>
        <v>-0.91752577319587625</v>
      </c>
      <c r="V21" s="1">
        <f t="shared" si="8"/>
        <v>-0.54347826086956519</v>
      </c>
      <c r="W21" s="1">
        <f t="shared" si="9"/>
        <v>0.46206896551724141</v>
      </c>
      <c r="X21" s="1">
        <f t="shared" si="10"/>
        <v>0.41350210970464141</v>
      </c>
      <c r="Y21" s="1">
        <f t="shared" si="11"/>
        <v>0.13207547169811318</v>
      </c>
      <c r="Z21" s="1">
        <f t="shared" si="12"/>
        <v>0.51419558359621442</v>
      </c>
      <c r="AA21" s="1">
        <f t="shared" si="13"/>
        <v>-0.29692832764505117</v>
      </c>
      <c r="AB21" s="1">
        <f t="shared" si="14"/>
        <v>0.2520325203252034</v>
      </c>
      <c r="AC21" s="1">
        <f t="shared" si="15"/>
        <v>6.9597069597069572E-2</v>
      </c>
      <c r="AD21" s="1">
        <f t="shared" si="16"/>
        <v>0.24393723252496424</v>
      </c>
      <c r="AE21" s="1">
        <v>0</v>
      </c>
      <c r="AG21" s="1">
        <v>-3.6842105263158197E-2</v>
      </c>
      <c r="AH21" s="1">
        <v>-0.75889328063241102</v>
      </c>
      <c r="AI21" s="1">
        <v>2.67379679144381E-2</v>
      </c>
      <c r="AJ21" s="1">
        <v>-0.23711340206185499</v>
      </c>
      <c r="AK21" s="1">
        <v>0.13043478260869501</v>
      </c>
      <c r="AL21" s="1">
        <v>-0.63448275862068904</v>
      </c>
      <c r="AM21" s="1">
        <v>-0.61603375527426096</v>
      </c>
      <c r="AN21" s="1">
        <v>-0.69811320754716899</v>
      </c>
      <c r="AO21" s="1">
        <v>-0.66561514195583504</v>
      </c>
      <c r="AP21" s="1">
        <v>-0.51877133105801998</v>
      </c>
      <c r="AQ21" s="1">
        <v>-0.54471544715447096</v>
      </c>
      <c r="AR21" s="1">
        <v>-0.98534798534798496</v>
      </c>
      <c r="AS21" s="1">
        <v>-0.49786019971469297</v>
      </c>
      <c r="AT21" s="1">
        <v>2</v>
      </c>
      <c r="BB21" s="1">
        <f>$AG21*AW$8+$AH21*AW$9+$AI21*AW$10+$AJ21*AW$11+$AK21*AW$12+$AL21*AW$13+$AM21*AW$14+$AN21*AW$15+$AO21*AW$16+$AP21*AW$17+$AQ21*AW$18+$AR21*AW$19+$AS21*AW$20+AW$7</f>
        <v>0.57169557024741957</v>
      </c>
      <c r="BC21" s="1">
        <f>$AG21*AX$8+$AH21*AX$9+$AI21*AX$10+$AJ21*AX$11+$AK21*AX$12+$AL21*AX$13+$AM21*AX$14+$AN21*AX$15+$AO21*AX$16+$AP21*AX$17+$AQ21*AX$18+$AR21*AX$19+$AS21*AX$20+AX$7</f>
        <v>0.58512260824823903</v>
      </c>
      <c r="BD21" s="1">
        <f t="shared" si="17"/>
        <v>1.9564642375476251</v>
      </c>
      <c r="BF21" s="1">
        <f t="shared" si="18"/>
        <v>0.6391543270096478</v>
      </c>
      <c r="BG21" s="1">
        <f t="shared" si="19"/>
        <v>0.64224526469039811</v>
      </c>
      <c r="BH21" s="1">
        <f t="shared" si="20"/>
        <v>0.87614979212808708</v>
      </c>
      <c r="BI21" s="17"/>
      <c r="BJ21" s="1">
        <f t="shared" si="21"/>
        <v>0.17185486198264477</v>
      </c>
      <c r="BK21" s="1">
        <f t="shared" si="22"/>
        <v>1.2948975660194357</v>
      </c>
      <c r="BL21" s="1">
        <f t="shared" si="23"/>
        <v>0.47669661071412783</v>
      </c>
      <c r="BM21" s="1">
        <f t="shared" si="24"/>
        <v>-0.35018252498865232</v>
      </c>
      <c r="BN21" s="17"/>
      <c r="BO21" s="1">
        <f>1/(1+EXP(-BJ21))</f>
        <v>0.5428582856626476</v>
      </c>
      <c r="BP21" s="1">
        <f>1/(1+EXP(-BK21))</f>
        <v>0.78497499937808912</v>
      </c>
      <c r="BQ21" s="1">
        <f>1/(1+EXP(-BL21))</f>
        <v>0.61696752467252081</v>
      </c>
      <c r="BR21" s="1">
        <f>1/(1+EXP(-BM21))</f>
        <v>0.41333815994828105</v>
      </c>
      <c r="BT21" s="1">
        <f t="shared" si="25"/>
        <v>-0.79025783597151489</v>
      </c>
      <c r="BU21" s="1">
        <f t="shared" si="26"/>
        <v>-0.83031854399144733</v>
      </c>
      <c r="BV21" s="1">
        <f t="shared" si="30"/>
        <v>-0.9129535656737614</v>
      </c>
      <c r="BX21" s="1">
        <f t="shared" si="27"/>
        <v>0.31211330971567214</v>
      </c>
      <c r="BY21" s="1">
        <f t="shared" si="31"/>
        <v>0.30357771993739802</v>
      </c>
      <c r="BZ21" s="1">
        <f t="shared" si="28"/>
        <v>0.28639582678320663</v>
      </c>
      <c r="CA21" s="21">
        <f t="shared" si="29"/>
        <v>0</v>
      </c>
      <c r="CB21" s="6">
        <f>wine_dataset_test_split[[#This Row],[target]]</f>
        <v>2</v>
      </c>
      <c r="CC21" s="6">
        <v>2</v>
      </c>
    </row>
    <row r="22" spans="2:84" x14ac:dyDescent="0.2">
      <c r="B22" s="1">
        <v>13.75</v>
      </c>
      <c r="C22" s="1">
        <v>1.73</v>
      </c>
      <c r="D22" s="1">
        <v>2.41</v>
      </c>
      <c r="E22" s="1">
        <v>16</v>
      </c>
      <c r="F22" s="1">
        <v>89</v>
      </c>
      <c r="G22" s="1">
        <v>2.6</v>
      </c>
      <c r="H22" s="1">
        <v>2.76</v>
      </c>
      <c r="I22" s="1">
        <v>0.28999999999999998</v>
      </c>
      <c r="J22" s="1">
        <v>1.81</v>
      </c>
      <c r="K22" s="1">
        <v>5.6</v>
      </c>
      <c r="L22" s="1">
        <v>1.1499999999999999</v>
      </c>
      <c r="M22" s="1">
        <v>2.9</v>
      </c>
      <c r="N22" s="1">
        <v>1320</v>
      </c>
      <c r="O22" s="1">
        <v>0</v>
      </c>
      <c r="R22" s="1">
        <f t="shared" si="4"/>
        <v>0.76315789473684248</v>
      </c>
      <c r="S22" s="1">
        <f t="shared" si="5"/>
        <v>-0.55335968379446632</v>
      </c>
      <c r="T22" s="1">
        <f t="shared" si="6"/>
        <v>9.0909090909090828E-2</v>
      </c>
      <c r="U22" s="1">
        <f t="shared" si="7"/>
        <v>-0.85567010309278346</v>
      </c>
      <c r="V22" s="1">
        <f t="shared" si="8"/>
        <v>-0.30434782608695654</v>
      </c>
      <c r="W22" s="1">
        <f t="shared" si="9"/>
        <v>0.59999999999999987</v>
      </c>
      <c r="X22" s="1">
        <f t="shared" si="10"/>
        <v>0.39240506329113933</v>
      </c>
      <c r="Y22" s="1">
        <f t="shared" si="11"/>
        <v>-0.39622641509433976</v>
      </c>
      <c r="Z22" s="1">
        <f t="shared" si="12"/>
        <v>0.60883280757097791</v>
      </c>
      <c r="AA22" s="1">
        <f t="shared" si="13"/>
        <v>6.1433447098975913E-2</v>
      </c>
      <c r="AB22" s="1">
        <f t="shared" si="14"/>
        <v>0.1707317073170731</v>
      </c>
      <c r="AC22" s="1">
        <f t="shared" si="15"/>
        <v>0.26739926739926734</v>
      </c>
      <c r="AD22" s="1">
        <f t="shared" si="16"/>
        <v>0.81027104136947226</v>
      </c>
      <c r="AE22" s="1">
        <v>0</v>
      </c>
      <c r="AG22" s="1">
        <v>0.76315789473684204</v>
      </c>
      <c r="AH22" s="1">
        <v>-0.55335968379446598</v>
      </c>
      <c r="AI22" s="1">
        <v>9.0909090909090301E-2</v>
      </c>
      <c r="AJ22" s="1">
        <v>-0.85567010309278302</v>
      </c>
      <c r="AK22" s="1">
        <v>-0.30434782608695599</v>
      </c>
      <c r="AL22" s="1">
        <v>0.6</v>
      </c>
      <c r="AM22" s="1">
        <v>0.392405063291139</v>
      </c>
      <c r="AN22" s="1">
        <v>-0.39622641509433898</v>
      </c>
      <c r="AO22" s="1">
        <v>0.60883280757097702</v>
      </c>
      <c r="AP22" s="1">
        <v>6.14334470989761E-2</v>
      </c>
      <c r="AQ22" s="1">
        <v>0.17073170731707299</v>
      </c>
      <c r="AR22" s="1">
        <v>0.267399267399267</v>
      </c>
      <c r="AS22" s="1">
        <v>0.81027104136947203</v>
      </c>
      <c r="AT22" s="1">
        <v>0</v>
      </c>
      <c r="AV22" s="1"/>
      <c r="AW22" s="10" t="s">
        <v>25</v>
      </c>
      <c r="AX22" s="10" t="s">
        <v>45</v>
      </c>
      <c r="AY22" s="10" t="s">
        <v>46</v>
      </c>
      <c r="AZ22" s="10" t="s">
        <v>47</v>
      </c>
      <c r="BA22" s="9"/>
      <c r="BB22" s="1">
        <f>$AG22*AW$8+$AH22*AW$9+$AI22*AW$10+$AJ22*AW$11+$AK22*AW$12+$AL22*AW$13+$AM22*AW$14+$AN22*AW$15+$AO22*AW$16+$AP22*AW$17+$AQ22*AW$18+$AR22*AW$19+$AS22*AW$20+AW$7</f>
        <v>-1.0704480425368477</v>
      </c>
      <c r="BC22" s="1">
        <f>$AG22*AX$8+$AH22*AX$9+$AI22*AX$10+$AJ22*AX$11+$AK22*AX$12+$AL22*AX$13+$AM22*AX$14+$AN22*AX$15+$AO22*AX$16+$AP22*AX$17+$AQ22*AX$18+$AR22*AX$19+$AS22*AX$20+AX$7</f>
        <v>2.9086309628755016</v>
      </c>
      <c r="BD22" s="1">
        <f t="shared" si="17"/>
        <v>-1.629080514060363</v>
      </c>
      <c r="BE22" s="9"/>
      <c r="BF22" s="1">
        <f t="shared" si="18"/>
        <v>0.25531788820897966</v>
      </c>
      <c r="BG22" s="1">
        <f t="shared" si="19"/>
        <v>0.94827145075597086</v>
      </c>
      <c r="BH22" s="1">
        <f t="shared" si="20"/>
        <v>0.16395636051620524</v>
      </c>
      <c r="BI22" s="17"/>
      <c r="BJ22" s="1">
        <f t="shared" si="21"/>
        <v>-0.48767606754641568</v>
      </c>
      <c r="BK22" s="1">
        <f t="shared" si="22"/>
        <v>0.3335358105117997</v>
      </c>
      <c r="BL22" s="1">
        <f t="shared" si="23"/>
        <v>-0.48161365135124784</v>
      </c>
      <c r="BM22" s="1">
        <f t="shared" si="24"/>
        <v>-1.2130100662098591</v>
      </c>
      <c r="BN22" s="17"/>
      <c r="BO22" s="1">
        <f>1/(1+EXP(-BJ22))</f>
        <v>0.38044117935717486</v>
      </c>
      <c r="BP22" s="1">
        <f>1/(1+EXP(-BK22))</f>
        <v>0.58261944447677028</v>
      </c>
      <c r="BQ22" s="1">
        <f>1/(1+EXP(-BL22))</f>
        <v>0.38187115743024369</v>
      </c>
      <c r="BR22" s="1">
        <f>1/(1+EXP(-BM22))</f>
        <v>0.22916888779829719</v>
      </c>
      <c r="BS22" s="9"/>
      <c r="BT22" s="1">
        <f t="shared" si="25"/>
        <v>-0.10054582495801245</v>
      </c>
      <c r="BU22" s="1">
        <f t="shared" si="26"/>
        <v>-0.82224817385736459</v>
      </c>
      <c r="BV22" s="1">
        <f t="shared" si="30"/>
        <v>-1.0940587130613573</v>
      </c>
      <c r="BW22" s="9"/>
      <c r="BX22" s="1">
        <f t="shared" si="27"/>
        <v>0.4748846987135833</v>
      </c>
      <c r="BY22" s="1">
        <f t="shared" si="31"/>
        <v>0.30528664348499451</v>
      </c>
      <c r="BZ22" s="1">
        <f t="shared" si="28"/>
        <v>0.25085476701084936</v>
      </c>
      <c r="CA22" s="6">
        <f t="shared" si="29"/>
        <v>0</v>
      </c>
      <c r="CB22" s="6">
        <f>wine_dataset_test_split[[#This Row],[target]]</f>
        <v>0</v>
      </c>
      <c r="CC22" s="20">
        <v>0</v>
      </c>
      <c r="CD22" s="9"/>
      <c r="CE22" s="9"/>
      <c r="CF22" s="9"/>
    </row>
    <row r="23" spans="2:84" x14ac:dyDescent="0.2">
      <c r="B23" s="1">
        <v>14.75</v>
      </c>
      <c r="C23" s="1">
        <v>1.73</v>
      </c>
      <c r="D23" s="1">
        <v>2.39</v>
      </c>
      <c r="E23" s="1">
        <v>11.4</v>
      </c>
      <c r="F23" s="1">
        <v>91</v>
      </c>
      <c r="G23" s="1">
        <v>3.1</v>
      </c>
      <c r="H23" s="1">
        <v>3.69</v>
      </c>
      <c r="I23" s="1">
        <v>0.43</v>
      </c>
      <c r="J23" s="1">
        <v>2.81</v>
      </c>
      <c r="K23" s="1">
        <v>5.4</v>
      </c>
      <c r="L23" s="1">
        <v>1.25</v>
      </c>
      <c r="M23" s="1">
        <v>2.73</v>
      </c>
      <c r="N23" s="1">
        <v>1150</v>
      </c>
      <c r="O23" s="1">
        <v>0</v>
      </c>
      <c r="R23" s="1">
        <f t="shared" si="4"/>
        <v>0.36842105263157943</v>
      </c>
      <c r="S23" s="1">
        <f t="shared" si="5"/>
        <v>-0.57707509881422925</v>
      </c>
      <c r="T23" s="1">
        <f t="shared" si="6"/>
        <v>0.43315508021390392</v>
      </c>
      <c r="U23" s="1">
        <f t="shared" si="7"/>
        <v>-0.31958762886597936</v>
      </c>
      <c r="V23" s="1">
        <f t="shared" si="8"/>
        <v>-8.6956521739130488E-2</v>
      </c>
      <c r="W23" s="1">
        <f t="shared" si="9"/>
        <v>0.28965517241379324</v>
      </c>
      <c r="X23" s="1">
        <f t="shared" si="10"/>
        <v>8.4388185654008518E-2</v>
      </c>
      <c r="Y23" s="1">
        <f t="shared" si="11"/>
        <v>-0.35849056603773599</v>
      </c>
      <c r="Z23" s="1">
        <f t="shared" si="12"/>
        <v>-0.33753943217665616</v>
      </c>
      <c r="AA23" s="1">
        <f t="shared" si="13"/>
        <v>2.7303754266211566E-2</v>
      </c>
      <c r="AB23" s="1">
        <f t="shared" si="14"/>
        <v>0.30081300813008149</v>
      </c>
      <c r="AC23" s="1">
        <f t="shared" si="15"/>
        <v>0.17948717948717929</v>
      </c>
      <c r="AD23" s="1">
        <f t="shared" si="16"/>
        <v>0.47218259629101289</v>
      </c>
      <c r="AE23" s="1">
        <v>0</v>
      </c>
      <c r="AG23" s="1">
        <v>-0.37368421052631501</v>
      </c>
      <c r="AH23" s="1">
        <v>-0.78260869565217395</v>
      </c>
      <c r="AI23" s="1">
        <v>-0.37967914438502698</v>
      </c>
      <c r="AJ23" s="1">
        <v>-0.134020618556701</v>
      </c>
      <c r="AK23" s="1">
        <v>-0.52173913043478204</v>
      </c>
      <c r="AL23" s="1">
        <v>-4.82758620689656E-2</v>
      </c>
      <c r="AM23" s="1">
        <v>-0.28270042194092798</v>
      </c>
      <c r="AN23" s="1">
        <v>-1.8867924528301799E-2</v>
      </c>
      <c r="AO23" s="1">
        <v>5.3627760252366E-2</v>
      </c>
      <c r="AP23" s="1">
        <v>-0.75767918088737196</v>
      </c>
      <c r="AQ23" s="1">
        <v>-0.38211382113821102</v>
      </c>
      <c r="AR23" s="1">
        <v>0.28205128205128099</v>
      </c>
      <c r="AS23" s="1">
        <v>-0.95149786019971405</v>
      </c>
      <c r="AT23" s="1">
        <v>1</v>
      </c>
      <c r="AV23" s="8" t="s">
        <v>21</v>
      </c>
      <c r="AW23" s="1">
        <v>0.47575699999999999</v>
      </c>
      <c r="AX23" s="1">
        <v>0.384521</v>
      </c>
      <c r="AY23" s="1">
        <v>-0.677153</v>
      </c>
      <c r="AZ23" s="1">
        <v>-0.394293</v>
      </c>
      <c r="BB23" s="1">
        <f>$AG23*AW$8+$AH23*AW$9+$AI23*AW$10+$AJ23*AW$11+$AK23*AW$12+$AL23*AW$13+$AM23*AW$14+$AN23*AW$15+$AO23*AW$16+$AP23*AW$17+$AQ23*AW$18+$AR23*AW$19+$AS23*AW$20+AW$7</f>
        <v>2.7249340179281654</v>
      </c>
      <c r="BC23" s="1">
        <f>$AG23*AX$8+$AH23*AX$9+$AI23*AX$10+$AJ23*AX$11+$AK23*AX$12+$AL23*AX$13+$AM23*AX$14+$AN23*AX$15+$AO23*AX$16+$AP23*AX$17+$AQ23*AX$18+$AR23*AX$19+$AS23*AX$20+AX$7</f>
        <v>1.2426444228333702</v>
      </c>
      <c r="BD23" s="1">
        <f t="shared" si="17"/>
        <v>1.408325197593981</v>
      </c>
      <c r="BF23" s="1">
        <f t="shared" si="18"/>
        <v>0.93848200903780121</v>
      </c>
      <c r="BG23" s="1">
        <f t="shared" si="19"/>
        <v>0.77602397889086538</v>
      </c>
      <c r="BH23" s="1">
        <f t="shared" si="20"/>
        <v>0.80350164893113052</v>
      </c>
      <c r="BI23" s="17"/>
      <c r="BJ23" s="1">
        <f t="shared" si="21"/>
        <v>-0.45592037468679858</v>
      </c>
      <c r="BK23" s="1">
        <f t="shared" si="22"/>
        <v>1.6445929297928106</v>
      </c>
      <c r="BL23" s="1">
        <f t="shared" si="23"/>
        <v>0.4953273874521632</v>
      </c>
      <c r="BM23" s="1">
        <f t="shared" si="24"/>
        <v>-0.67282601823685639</v>
      </c>
      <c r="BN23" s="17"/>
      <c r="BO23" s="1">
        <f>1/(1+EXP(-BJ23))</f>
        <v>0.38795406945423361</v>
      </c>
      <c r="BP23" s="1">
        <f>1/(1+EXP(-BK23))</f>
        <v>0.83815892968265915</v>
      </c>
      <c r="BQ23" s="1">
        <f>1/(1+EXP(-BL23))</f>
        <v>0.62136062322025931</v>
      </c>
      <c r="BR23" s="1">
        <f>1/(1+EXP(-BM23))</f>
        <v>0.33786433713825098</v>
      </c>
      <c r="BT23" s="1">
        <f t="shared" si="25"/>
        <v>-0.65984416094498344</v>
      </c>
      <c r="BU23" s="1">
        <f t="shared" si="26"/>
        <v>-0.52977518690352732</v>
      </c>
      <c r="BV23" s="1">
        <f t="shared" si="30"/>
        <v>-1.1100969093819812</v>
      </c>
      <c r="BX23" s="1">
        <f t="shared" si="27"/>
        <v>0.34077461949942023</v>
      </c>
      <c r="BY23" s="1">
        <f t="shared" si="31"/>
        <v>0.37056932364431422</v>
      </c>
      <c r="BZ23" s="1">
        <f t="shared" si="28"/>
        <v>0.24785282209749093</v>
      </c>
      <c r="CA23" s="6">
        <f t="shared" si="29"/>
        <v>1</v>
      </c>
      <c r="CB23" s="6">
        <f>wine_dataset_test_split[[#This Row],[target]]</f>
        <v>1</v>
      </c>
      <c r="CC23" s="6">
        <v>1</v>
      </c>
    </row>
    <row r="24" spans="2:84" x14ac:dyDescent="0.2">
      <c r="B24" s="1">
        <v>14.38</v>
      </c>
      <c r="C24" s="1">
        <v>1.87</v>
      </c>
      <c r="D24" s="1">
        <v>2.38</v>
      </c>
      <c r="E24" s="1">
        <v>12</v>
      </c>
      <c r="F24" s="1">
        <v>102</v>
      </c>
      <c r="G24" s="1">
        <v>3.3</v>
      </c>
      <c r="H24" s="1">
        <v>3.64</v>
      </c>
      <c r="I24" s="1">
        <v>0.28999999999999998</v>
      </c>
      <c r="J24" s="1">
        <v>2.96</v>
      </c>
      <c r="K24" s="1">
        <v>7.5</v>
      </c>
      <c r="L24" s="1">
        <v>1.2</v>
      </c>
      <c r="M24" s="1">
        <v>3</v>
      </c>
      <c r="N24" s="1">
        <v>1547</v>
      </c>
      <c r="O24" s="1">
        <v>0</v>
      </c>
      <c r="R24" s="1">
        <f t="shared" si="4"/>
        <v>0.72105263157894783</v>
      </c>
      <c r="S24" s="1">
        <f t="shared" si="5"/>
        <v>-0.53359683794466406</v>
      </c>
      <c r="T24" s="1">
        <f t="shared" si="6"/>
        <v>0.45454545454545481</v>
      </c>
      <c r="U24" s="1">
        <f t="shared" si="7"/>
        <v>-3.0927835051546282E-2</v>
      </c>
      <c r="V24" s="1">
        <f t="shared" si="8"/>
        <v>8.6956521739130377E-2</v>
      </c>
      <c r="W24" s="1">
        <f t="shared" si="9"/>
        <v>0.25517241379310329</v>
      </c>
      <c r="X24" s="1">
        <f t="shared" si="10"/>
        <v>0.18143459915611815</v>
      </c>
      <c r="Y24" s="1">
        <f t="shared" si="11"/>
        <v>-0.24528301886792447</v>
      </c>
      <c r="Z24" s="1">
        <f t="shared" si="12"/>
        <v>-1.577287066246047E-2</v>
      </c>
      <c r="AA24" s="1">
        <f t="shared" si="13"/>
        <v>-0.16040955631399323</v>
      </c>
      <c r="AB24" s="1">
        <f t="shared" si="14"/>
        <v>-4.0650406504064929E-2</v>
      </c>
      <c r="AC24" s="1">
        <f t="shared" si="15"/>
        <v>1.098901098901095E-2</v>
      </c>
      <c r="AD24" s="1">
        <f t="shared" si="16"/>
        <v>0.42938659058487882</v>
      </c>
      <c r="AE24" s="1">
        <v>0</v>
      </c>
      <c r="AG24" s="1">
        <v>-0.26842105263157801</v>
      </c>
      <c r="AH24" s="1">
        <v>-0.28458498023715401</v>
      </c>
      <c r="AI24" s="1">
        <v>-2.6737967914439002E-2</v>
      </c>
      <c r="AJ24" s="1">
        <v>0.17525773195876301</v>
      </c>
      <c r="AK24" s="1">
        <v>-0.56521739130434701</v>
      </c>
      <c r="AL24" s="1">
        <v>-0.51724137931034397</v>
      </c>
      <c r="AM24" s="1">
        <v>-0.367088607594936</v>
      </c>
      <c r="AN24" s="1">
        <v>1</v>
      </c>
      <c r="AO24" s="1">
        <v>-0.36277602523659302</v>
      </c>
      <c r="AP24" s="1">
        <v>-0.75767918088737196</v>
      </c>
      <c r="AQ24" s="1">
        <v>-0.38211382113821102</v>
      </c>
      <c r="AR24" s="1">
        <v>0.487179487179487</v>
      </c>
      <c r="AS24" s="1">
        <v>-0.947218259629101</v>
      </c>
      <c r="AT24" s="1">
        <v>1</v>
      </c>
      <c r="AV24" s="8" t="s">
        <v>22</v>
      </c>
      <c r="AW24" s="1">
        <v>-1.393394</v>
      </c>
      <c r="AX24" s="1">
        <v>1.4771989999999999</v>
      </c>
      <c r="AY24" s="1">
        <v>0.36965799999999999</v>
      </c>
      <c r="AZ24" s="1">
        <v>-0.41099400000000003</v>
      </c>
      <c r="BB24" s="1">
        <f>$AG24*AW$8+$AH24*AW$9+$AI24*AW$10+$AJ24*AW$11+$AK24*AW$12+$AL24*AW$13+$AM24*AW$14+$AN24*AW$15+$AO24*AW$16+$AP24*AW$17+$AQ24*AW$18+$AR24*AW$19+$AS24*AW$20+AW$7</f>
        <v>2.145092978825998</v>
      </c>
      <c r="BC24" s="1">
        <f>$AG24*AX$8+$AH24*AX$9+$AI24*AX$10+$AJ24*AX$11+$AK24*AX$12+$AL24*AX$13+$AM24*AX$14+$AN24*AX$15+$AO24*AX$16+$AP24*AX$17+$AQ24*AX$18+$AR24*AX$19+$AS24*AX$20+AX$7</f>
        <v>0.66718119961398037</v>
      </c>
      <c r="BD24" s="1">
        <f t="shared" si="17"/>
        <v>2.1498567019486692</v>
      </c>
      <c r="BF24" s="1">
        <f t="shared" si="18"/>
        <v>0.89520934321184609</v>
      </c>
      <c r="BG24" s="1">
        <f t="shared" si="19"/>
        <v>0.66087169558656644</v>
      </c>
      <c r="BH24" s="1">
        <f t="shared" si="20"/>
        <v>0.89565538546066004</v>
      </c>
      <c r="BI24" s="17"/>
      <c r="BJ24" s="1">
        <f t="shared" si="21"/>
        <v>-0.17561925270901746</v>
      </c>
      <c r="BK24" s="1">
        <f t="shared" si="22"/>
        <v>1.670184954146773</v>
      </c>
      <c r="BL24" s="1">
        <f t="shared" si="23"/>
        <v>0.59140861700522873</v>
      </c>
      <c r="BM24" s="1">
        <f t="shared" si="24"/>
        <v>-0.45262024015197055</v>
      </c>
      <c r="BN24" s="17"/>
      <c r="BO24" s="1">
        <f>1/(1+EXP(-BJ24))</f>
        <v>0.4562076830067931</v>
      </c>
      <c r="BP24" s="1">
        <f>1/(1+EXP(-BK24))</f>
        <v>0.84160047878608579</v>
      </c>
      <c r="BQ24" s="1">
        <f>1/(1+EXP(-BL24))</f>
        <v>0.64368828253472066</v>
      </c>
      <c r="BR24" s="1">
        <f>1/(1+EXP(-BM24))</f>
        <v>0.38873796138577982</v>
      </c>
      <c r="BT24" s="1">
        <f t="shared" si="25"/>
        <v>-0.77440571819758852</v>
      </c>
      <c r="BU24" s="1">
        <f t="shared" si="26"/>
        <v>-0.63972890498019752</v>
      </c>
      <c r="BV24" s="1">
        <f t="shared" si="30"/>
        <v>-1.0154245589339221</v>
      </c>
      <c r="BX24" s="1">
        <f t="shared" si="27"/>
        <v>0.31552683243692931</v>
      </c>
      <c r="BY24" s="1">
        <f t="shared" si="31"/>
        <v>0.34530782336400406</v>
      </c>
      <c r="BZ24" s="1">
        <f t="shared" si="28"/>
        <v>0.26591959863598769</v>
      </c>
      <c r="CA24" s="6">
        <f t="shared" si="29"/>
        <v>1</v>
      </c>
      <c r="CB24" s="6">
        <f>wine_dataset_test_split[[#This Row],[target]]</f>
        <v>1</v>
      </c>
      <c r="CC24" s="6">
        <v>1</v>
      </c>
    </row>
    <row r="25" spans="2:84" x14ac:dyDescent="0.2">
      <c r="B25" s="1">
        <v>13.63</v>
      </c>
      <c r="C25" s="1">
        <v>1.81</v>
      </c>
      <c r="D25" s="1">
        <v>2.7</v>
      </c>
      <c r="E25" s="1">
        <v>17.2</v>
      </c>
      <c r="F25" s="1">
        <v>112</v>
      </c>
      <c r="G25" s="1">
        <v>2.85</v>
      </c>
      <c r="H25" s="1">
        <v>2.91</v>
      </c>
      <c r="I25" s="1">
        <v>0.3</v>
      </c>
      <c r="J25" s="1">
        <v>1.46</v>
      </c>
      <c r="K25" s="1">
        <v>7.3</v>
      </c>
      <c r="L25" s="1">
        <v>1.28</v>
      </c>
      <c r="M25" s="1">
        <v>2.88</v>
      </c>
      <c r="N25" s="1">
        <v>1310</v>
      </c>
      <c r="O25" s="1">
        <v>0</v>
      </c>
      <c r="R25" s="1">
        <f t="shared" si="4"/>
        <v>0.47368421052631593</v>
      </c>
      <c r="S25" s="1">
        <f t="shared" si="5"/>
        <v>-0.67193675889328053</v>
      </c>
      <c r="T25" s="1">
        <f t="shared" si="6"/>
        <v>0.34759358288770059</v>
      </c>
      <c r="U25" s="1">
        <f t="shared" si="7"/>
        <v>-3.0927835051546282E-2</v>
      </c>
      <c r="V25" s="1">
        <f t="shared" si="8"/>
        <v>-2.1739130434782594E-2</v>
      </c>
      <c r="W25" s="1">
        <f t="shared" si="9"/>
        <v>0.35862068965517269</v>
      </c>
      <c r="X25" s="1">
        <f t="shared" si="10"/>
        <v>0.29113924050632911</v>
      </c>
      <c r="Y25" s="1">
        <f t="shared" si="11"/>
        <v>1.8867924528301883E-2</v>
      </c>
      <c r="Z25" s="1">
        <f t="shared" si="12"/>
        <v>-0.17350157728706617</v>
      </c>
      <c r="AA25" s="1">
        <f t="shared" si="13"/>
        <v>-9.2150170648464313E-2</v>
      </c>
      <c r="AB25" s="1">
        <f t="shared" si="14"/>
        <v>5.6910569105691033E-2</v>
      </c>
      <c r="AC25" s="1">
        <f t="shared" si="15"/>
        <v>-4.7619047619047783E-2</v>
      </c>
      <c r="AD25" s="1">
        <f t="shared" si="16"/>
        <v>0.21540656205420827</v>
      </c>
      <c r="AE25" s="1">
        <v>0</v>
      </c>
      <c r="AG25" s="1">
        <v>0.59473684210526301</v>
      </c>
      <c r="AH25" s="1">
        <v>-0.64822134387351704</v>
      </c>
      <c r="AI25" s="1">
        <v>-1.6042780748663599E-2</v>
      </c>
      <c r="AJ25" s="1">
        <v>-0.44329896907216398</v>
      </c>
      <c r="AK25" s="1">
        <v>0.217391304347826</v>
      </c>
      <c r="AL25" s="1">
        <v>0.39310344827586202</v>
      </c>
      <c r="AM25" s="1">
        <v>0.19409282700421901</v>
      </c>
      <c r="AN25" s="1">
        <v>-0.58490566037735803</v>
      </c>
      <c r="AO25" s="1">
        <v>6.6246056782334403E-2</v>
      </c>
      <c r="AP25" s="1">
        <v>-0.25426621160409502</v>
      </c>
      <c r="AQ25" s="1">
        <v>-8.1300813008127193E-3</v>
      </c>
      <c r="AR25" s="1">
        <v>0.78754578754578697</v>
      </c>
      <c r="AS25" s="1">
        <v>-0.28388017118402198</v>
      </c>
      <c r="AT25" s="1">
        <v>0</v>
      </c>
      <c r="AV25" s="8" t="s">
        <v>23</v>
      </c>
      <c r="AW25" s="1">
        <v>-0.86641199999999996</v>
      </c>
      <c r="AX25" s="1">
        <v>-0.50939000000000001</v>
      </c>
      <c r="AY25" s="1">
        <v>-8.5196999999999995E-2</v>
      </c>
      <c r="AZ25" s="1">
        <v>-0.93129799999999996</v>
      </c>
      <c r="BB25" s="1">
        <f>$AG25*AW$8+$AH25*AW$9+$AI25*AW$10+$AJ25*AW$11+$AK25*AW$12+$AL25*AW$13+$AM25*AW$14+$AN25*AW$15+$AO25*AW$16+$AP25*AW$17+$AQ25*AW$18+$AR25*AW$19+$AS25*AW$20+AW$7</f>
        <v>0.16379717661260335</v>
      </c>
      <c r="BC25" s="1">
        <f>$AG25*AX$8+$AH25*AX$9+$AI25*AX$10+$AJ25*AX$11+$AK25*AX$12+$AL25*AX$13+$AM25*AX$14+$AN25*AX$15+$AO25*AX$16+$AP25*AX$17+$AQ25*AX$18+$AR25*AX$19+$AS25*AX$20+AX$7</f>
        <v>2.8466037419604957</v>
      </c>
      <c r="BD25" s="1">
        <f t="shared" si="17"/>
        <v>-0.57410224903708273</v>
      </c>
      <c r="BF25" s="1">
        <f t="shared" si="18"/>
        <v>0.54085798498137228</v>
      </c>
      <c r="BG25" s="1">
        <f t="shared" si="19"/>
        <v>0.94514286014197935</v>
      </c>
      <c r="BH25" s="1">
        <f t="shared" si="20"/>
        <v>0.36029079214196541</v>
      </c>
      <c r="BI25" s="17"/>
      <c r="BJ25" s="1">
        <f t="shared" si="21"/>
        <v>-0.62667146105349603</v>
      </c>
      <c r="BK25" s="1">
        <f t="shared" si="22"/>
        <v>0.82267004245117514</v>
      </c>
      <c r="BL25" s="1">
        <f t="shared" si="23"/>
        <v>-0.15791475157164747</v>
      </c>
      <c r="BM25" s="1">
        <f t="shared" si="24"/>
        <v>-1.1246700208696159</v>
      </c>
      <c r="BN25" s="17"/>
      <c r="BO25" s="1">
        <f>1/(1+EXP(-BJ25))</f>
        <v>0.34826565648389862</v>
      </c>
      <c r="BP25" s="1">
        <f>1/(1+EXP(-BK25))</f>
        <v>0.6948028218862895</v>
      </c>
      <c r="BQ25" s="1">
        <f>1/(1+EXP(-BL25))</f>
        <v>0.46060314826730736</v>
      </c>
      <c r="BR25" s="1">
        <f>1/(1+EXP(-BM25))</f>
        <v>0.24514607046181755</v>
      </c>
      <c r="BT25" s="1">
        <f t="shared" si="25"/>
        <v>-0.27124106433301365</v>
      </c>
      <c r="BU25" s="1">
        <f t="shared" si="26"/>
        <v>-0.63662217339578486</v>
      </c>
      <c r="BV25" s="1">
        <f t="shared" si="30"/>
        <v>-1.1559007494457187</v>
      </c>
      <c r="BX25" s="1">
        <f t="shared" si="27"/>
        <v>0.43260244095675054</v>
      </c>
      <c r="BY25" s="1">
        <f t="shared" si="31"/>
        <v>0.34601050033232106</v>
      </c>
      <c r="BZ25" s="1">
        <f t="shared" si="28"/>
        <v>0.23941293809891112</v>
      </c>
      <c r="CA25" s="6">
        <f t="shared" si="29"/>
        <v>0</v>
      </c>
      <c r="CB25" s="6">
        <f>wine_dataset_test_split[[#This Row],[target]]</f>
        <v>0</v>
      </c>
      <c r="CC25" s="6">
        <v>0</v>
      </c>
    </row>
    <row r="26" spans="2:84" x14ac:dyDescent="0.2">
      <c r="B26" s="1">
        <v>14.3</v>
      </c>
      <c r="C26" s="1">
        <v>1.92</v>
      </c>
      <c r="D26" s="1">
        <v>2.72</v>
      </c>
      <c r="E26" s="1">
        <v>20</v>
      </c>
      <c r="F26" s="1">
        <v>120</v>
      </c>
      <c r="G26" s="1">
        <v>2.8</v>
      </c>
      <c r="H26" s="1">
        <v>3.14</v>
      </c>
      <c r="I26" s="1">
        <v>0.33</v>
      </c>
      <c r="J26" s="1">
        <v>1.97</v>
      </c>
      <c r="K26" s="1">
        <v>6.2</v>
      </c>
      <c r="L26" s="1">
        <v>1.07</v>
      </c>
      <c r="M26" s="1">
        <v>2.65</v>
      </c>
      <c r="N26" s="1">
        <v>1280</v>
      </c>
      <c r="O26" s="1">
        <v>0</v>
      </c>
      <c r="R26" s="1">
        <f t="shared" si="4"/>
        <v>0.66315789473684195</v>
      </c>
      <c r="S26" s="1">
        <f t="shared" si="5"/>
        <v>-0.66403162055335962</v>
      </c>
      <c r="T26" s="1">
        <f t="shared" si="6"/>
        <v>0.19786096256684482</v>
      </c>
      <c r="U26" s="1">
        <f t="shared" si="7"/>
        <v>-0.39175257731958757</v>
      </c>
      <c r="V26" s="1">
        <f t="shared" si="8"/>
        <v>-0.17391304347826086</v>
      </c>
      <c r="W26" s="1">
        <f t="shared" si="9"/>
        <v>0.59999999999999987</v>
      </c>
      <c r="X26" s="1">
        <f t="shared" si="10"/>
        <v>0.51476793248945163</v>
      </c>
      <c r="Y26" s="1">
        <f t="shared" si="11"/>
        <v>-0.28301886792452835</v>
      </c>
      <c r="Z26" s="1">
        <f t="shared" si="12"/>
        <v>-8.5173501577286981E-2</v>
      </c>
      <c r="AA26" s="1">
        <f t="shared" si="13"/>
        <v>0.26621160409556288</v>
      </c>
      <c r="AB26" s="1">
        <f t="shared" si="14"/>
        <v>0.21951219512195119</v>
      </c>
      <c r="AC26" s="1">
        <f t="shared" si="15"/>
        <v>0.13553113553113549</v>
      </c>
      <c r="AD26" s="1">
        <f t="shared" si="16"/>
        <v>1</v>
      </c>
      <c r="AE26" s="1">
        <v>0</v>
      </c>
      <c r="AG26" s="1">
        <v>-0.44736842105263003</v>
      </c>
      <c r="AH26" s="1">
        <v>-0.470355731225296</v>
      </c>
      <c r="AI26" s="1">
        <v>-0.63636363636363602</v>
      </c>
      <c r="AJ26" s="1">
        <v>-0.28865979381443202</v>
      </c>
      <c r="AK26" s="1">
        <v>-0.41304347826086901</v>
      </c>
      <c r="AL26" s="1">
        <v>-0.13793103448275801</v>
      </c>
      <c r="AM26" s="1">
        <v>-0.227848101265822</v>
      </c>
      <c r="AN26" s="1">
        <v>-0.50943396226415005</v>
      </c>
      <c r="AO26" s="1">
        <v>-0.37539432176656101</v>
      </c>
      <c r="AP26" s="1">
        <v>-0.65529010238907803</v>
      </c>
      <c r="AQ26" s="1">
        <v>0.284552845528455</v>
      </c>
      <c r="AR26" s="1">
        <v>0.238095238095238</v>
      </c>
      <c r="AS26" s="1">
        <v>-0.38373751783166898</v>
      </c>
      <c r="AT26" s="1">
        <v>1</v>
      </c>
      <c r="AV26" s="8" t="s">
        <v>24</v>
      </c>
      <c r="AW26" s="1">
        <v>1.304732</v>
      </c>
      <c r="AX26" s="1">
        <v>0.33484199999999997</v>
      </c>
      <c r="AY26" s="1">
        <v>1.1097399999999999</v>
      </c>
      <c r="AZ26" s="1">
        <v>1.0328379999999999</v>
      </c>
      <c r="BB26" s="1">
        <f>$AG26*AW$8+$AH26*AW$9+$AI26*AW$10+$AJ26*AW$11+$AK26*AW$12+$AL26*AW$13+$AM26*AW$14+$AN26*AW$15+$AO26*AW$16+$AP26*AW$17+$AQ26*AW$18+$AR26*AW$19+$AS26*AW$20+AW$7</f>
        <v>2.4602060759454116</v>
      </c>
      <c r="BC26" s="1">
        <f>$AG26*AX$8+$AH26*AX$9+$AI26*AX$10+$AJ26*AX$11+$AK26*AX$12+$AL26*AX$13+$AM26*AX$14+$AN26*AX$15+$AO26*AX$16+$AP26*AX$17+$AQ26*AX$18+$AR26*AX$19+$AS26*AX$20+AX$7</f>
        <v>0.98723858818858701</v>
      </c>
      <c r="BD26" s="1">
        <f t="shared" si="17"/>
        <v>0.52775657295274869</v>
      </c>
      <c r="BF26" s="1">
        <f t="shared" si="18"/>
        <v>0.92130460513345758</v>
      </c>
      <c r="BG26" s="1">
        <f t="shared" si="19"/>
        <v>0.72854214689827301</v>
      </c>
      <c r="BH26" s="1">
        <f t="shared" si="20"/>
        <v>0.62895971640639059</v>
      </c>
      <c r="BI26" s="17"/>
      <c r="BJ26" s="1">
        <f t="shared" si="21"/>
        <v>-0.61857709883741285</v>
      </c>
      <c r="BK26" s="1">
        <f t="shared" si="22"/>
        <v>1.5849612865509757</v>
      </c>
      <c r="BL26" s="1">
        <f t="shared" si="23"/>
        <v>0.29932676811995929</v>
      </c>
      <c r="BM26" s="1">
        <f t="shared" si="24"/>
        <v>-0.80182001363054445</v>
      </c>
      <c r="BN26" s="17"/>
      <c r="BO26" s="1">
        <f>1/(1+EXP(-BJ26))</f>
        <v>0.3501051372127702</v>
      </c>
      <c r="BP26" s="1">
        <f>1/(1+EXP(-BK26))</f>
        <v>0.82990600996562647</v>
      </c>
      <c r="BQ26" s="1">
        <f>1/(1+EXP(-BL26))</f>
        <v>0.57427793144056682</v>
      </c>
      <c r="BR26" s="1">
        <f>1/(1+EXP(-BM26))</f>
        <v>0.30963633497916698</v>
      </c>
      <c r="BT26" s="1">
        <f t="shared" si="25"/>
        <v>-0.54986909253927085</v>
      </c>
      <c r="BU26" s="1">
        <f t="shared" si="26"/>
        <v>-0.49772475789488646</v>
      </c>
      <c r="BV26" s="1">
        <f t="shared" si="30"/>
        <v>-1.1512189476067236</v>
      </c>
      <c r="BX26" s="1">
        <f t="shared" si="27"/>
        <v>0.36589478105391382</v>
      </c>
      <c r="BY26" s="1">
        <f t="shared" si="31"/>
        <v>0.37807550792763089</v>
      </c>
      <c r="BZ26" s="1">
        <f t="shared" si="28"/>
        <v>0.24026650772721631</v>
      </c>
      <c r="CA26" s="6">
        <f t="shared" si="29"/>
        <v>1</v>
      </c>
      <c r="CB26" s="6">
        <f>wine_dataset_test_split[[#This Row],[target]]</f>
        <v>1</v>
      </c>
      <c r="CC26" s="6">
        <v>1</v>
      </c>
    </row>
    <row r="27" spans="2:84" x14ac:dyDescent="0.2">
      <c r="B27" s="1">
        <v>13.83</v>
      </c>
      <c r="C27" s="1">
        <v>1.57</v>
      </c>
      <c r="D27" s="1">
        <v>2.62</v>
      </c>
      <c r="E27" s="1">
        <v>20</v>
      </c>
      <c r="F27" s="1">
        <v>115</v>
      </c>
      <c r="G27" s="1">
        <v>2.95</v>
      </c>
      <c r="H27" s="1">
        <v>3.4</v>
      </c>
      <c r="I27" s="1">
        <v>0.4</v>
      </c>
      <c r="J27" s="1">
        <v>1.72</v>
      </c>
      <c r="K27" s="1">
        <v>6.6</v>
      </c>
      <c r="L27" s="1">
        <v>1.1299999999999999</v>
      </c>
      <c r="M27" s="1">
        <v>2.57</v>
      </c>
      <c r="N27" s="1">
        <v>1130</v>
      </c>
      <c r="O27" s="1">
        <v>0</v>
      </c>
      <c r="R27" s="1">
        <f t="shared" si="4"/>
        <v>0.37368421052631606</v>
      </c>
      <c r="S27" s="1">
        <f t="shared" si="5"/>
        <v>-6.7193675889327897E-2</v>
      </c>
      <c r="T27" s="1">
        <f t="shared" si="6"/>
        <v>0.28342245989304815</v>
      </c>
      <c r="U27" s="1">
        <f t="shared" si="7"/>
        <v>-0.52577319587628868</v>
      </c>
      <c r="V27" s="1">
        <f t="shared" si="8"/>
        <v>0</v>
      </c>
      <c r="W27" s="1">
        <f t="shared" si="9"/>
        <v>0.18620689655172429</v>
      </c>
      <c r="X27" s="1">
        <f t="shared" si="10"/>
        <v>0.13502109704641341</v>
      </c>
      <c r="Y27" s="1">
        <f t="shared" si="11"/>
        <v>-0.84905660377358494</v>
      </c>
      <c r="Z27" s="1">
        <f t="shared" si="12"/>
        <v>-0.21135646687697163</v>
      </c>
      <c r="AA27" s="1">
        <f t="shared" si="13"/>
        <v>-0.34812286689419814</v>
      </c>
      <c r="AB27" s="1">
        <f t="shared" si="14"/>
        <v>-0.21951219512195119</v>
      </c>
      <c r="AC27" s="1">
        <f t="shared" si="15"/>
        <v>0.53113553113553102</v>
      </c>
      <c r="AD27" s="1">
        <f t="shared" si="16"/>
        <v>-0.19115549215406558</v>
      </c>
      <c r="AE27" s="1">
        <v>0</v>
      </c>
      <c r="AG27" s="1">
        <v>7.3684210526316393E-2</v>
      </c>
      <c r="AH27" s="1">
        <v>-0.69960474308300302</v>
      </c>
      <c r="AI27" s="1">
        <v>-0.20855614973261999</v>
      </c>
      <c r="AJ27" s="1">
        <v>-0.49484536082474201</v>
      </c>
      <c r="AK27" s="1">
        <v>-0.39130434782608597</v>
      </c>
      <c r="AL27" s="1">
        <v>-2.06896551724138E-2</v>
      </c>
      <c r="AM27" s="1">
        <v>-2.9535864978902999E-2</v>
      </c>
      <c r="AN27" s="1">
        <v>-0.43396226415094302</v>
      </c>
      <c r="AO27" s="1">
        <v>-0.39432176656151402</v>
      </c>
      <c r="AP27" s="1">
        <v>-0.58703071672354901</v>
      </c>
      <c r="AQ27" s="1">
        <v>0.138211382113821</v>
      </c>
      <c r="AR27" s="1">
        <v>4.0293040293040303E-2</v>
      </c>
      <c r="AS27" s="1">
        <v>5.8487874465050098E-2</v>
      </c>
      <c r="AT27" s="1">
        <v>0</v>
      </c>
      <c r="BB27" s="1">
        <f>$AG27*AW$8+$AH27*AW$9+$AI27*AW$10+$AJ27*AW$11+$AK27*AW$12+$AL27*AW$13+$AM27*AW$14+$AN27*AW$15+$AO27*AW$16+$AP27*AW$17+$AQ27*AW$18+$AR27*AW$19+$AS27*AW$20+AW$7</f>
        <v>0.85223404245289447</v>
      </c>
      <c r="BC27" s="1">
        <f>$AG27*AX$8+$AH27*AX$9+$AI27*AX$10+$AJ27*AX$11+$AK27*AX$12+$AL27*AX$13+$AM27*AX$14+$AN27*AX$15+$AO27*AX$16+$AP27*AX$17+$AQ27*AX$18+$AR27*AX$19+$AS27*AX$20+AX$7</f>
        <v>2.0449584753760965</v>
      </c>
      <c r="BD27" s="1">
        <f t="shared" si="17"/>
        <v>0.38835624266001934</v>
      </c>
      <c r="BF27" s="1">
        <f t="shared" si="18"/>
        <v>0.70103557377493342</v>
      </c>
      <c r="BG27" s="1">
        <f t="shared" si="19"/>
        <v>0.88543720865334208</v>
      </c>
      <c r="BH27" s="1">
        <f t="shared" si="20"/>
        <v>0.59588693563452055</v>
      </c>
      <c r="BI27" s="17"/>
      <c r="BJ27" s="1">
        <f t="shared" si="21"/>
        <v>-0.49074243180400967</v>
      </c>
      <c r="BK27" s="1">
        <f t="shared" si="22"/>
        <v>1.1685851621305661</v>
      </c>
      <c r="BL27" s="1">
        <f t="shared" si="23"/>
        <v>0.16783338221590827</v>
      </c>
      <c r="BM27" s="1">
        <f t="shared" si="24"/>
        <v>-0.89156564532560822</v>
      </c>
      <c r="BN27" s="17"/>
      <c r="BO27" s="1">
        <f>1/(1+EXP(-BJ27))</f>
        <v>0.3797186852992358</v>
      </c>
      <c r="BP27" s="1">
        <f>1/(1+EXP(-BK27))</f>
        <v>0.7628891819250545</v>
      </c>
      <c r="BQ27" s="1">
        <f>1/(1+EXP(-BL27))</f>
        <v>0.54186013181596604</v>
      </c>
      <c r="BR27" s="1">
        <f>1/(1+EXP(-BM27))</f>
        <v>0.29078683889809942</v>
      </c>
      <c r="BT27" s="1">
        <f t="shared" si="25"/>
        <v>-0.47681221704948018</v>
      </c>
      <c r="BU27" s="1">
        <f t="shared" si="26"/>
        <v>-0.59586306996744409</v>
      </c>
      <c r="BV27" s="1">
        <f t="shared" si="30"/>
        <v>-1.1285437342584095</v>
      </c>
      <c r="BX27" s="1">
        <f t="shared" si="27"/>
        <v>0.38300515576981953</v>
      </c>
      <c r="BY27" s="1">
        <f t="shared" si="31"/>
        <v>0.35529072747292895</v>
      </c>
      <c r="BZ27" s="1">
        <f t="shared" si="28"/>
        <v>0.24442994970662846</v>
      </c>
      <c r="CA27" s="6">
        <f t="shared" si="29"/>
        <v>0</v>
      </c>
      <c r="CB27" s="6">
        <f>wine_dataset_test_split[[#This Row],[target]]</f>
        <v>0</v>
      </c>
      <c r="CC27" s="6">
        <v>0</v>
      </c>
    </row>
    <row r="28" spans="2:84" x14ac:dyDescent="0.2">
      <c r="B28" s="1">
        <v>14.19</v>
      </c>
      <c r="C28" s="1">
        <v>1.59</v>
      </c>
      <c r="D28" s="1">
        <v>2.48</v>
      </c>
      <c r="E28" s="1">
        <v>16.5</v>
      </c>
      <c r="F28" s="1">
        <v>108</v>
      </c>
      <c r="G28" s="1">
        <v>3.3</v>
      </c>
      <c r="H28" s="1">
        <v>3.93</v>
      </c>
      <c r="I28" s="1">
        <v>0.32</v>
      </c>
      <c r="J28" s="1">
        <v>1.86</v>
      </c>
      <c r="K28" s="1">
        <v>8.6999999999999993</v>
      </c>
      <c r="L28" s="1">
        <v>1.23</v>
      </c>
      <c r="M28" s="1">
        <v>2.82</v>
      </c>
      <c r="N28" s="1">
        <v>1680</v>
      </c>
      <c r="O28" s="1">
        <v>0</v>
      </c>
      <c r="R28" s="1">
        <f t="shared" si="4"/>
        <v>0.59473684210526345</v>
      </c>
      <c r="S28" s="1">
        <f t="shared" si="5"/>
        <v>-0.64822134387351782</v>
      </c>
      <c r="T28" s="1">
        <f t="shared" si="6"/>
        <v>-1.6042780748663388E-2</v>
      </c>
      <c r="U28" s="1">
        <f t="shared" si="7"/>
        <v>-0.44329896907216482</v>
      </c>
      <c r="V28" s="1">
        <f t="shared" si="8"/>
        <v>0.21739130434782616</v>
      </c>
      <c r="W28" s="1">
        <f t="shared" si="9"/>
        <v>0.39310344827586219</v>
      </c>
      <c r="X28" s="1">
        <f t="shared" si="10"/>
        <v>0.19409282700421948</v>
      </c>
      <c r="Y28" s="1">
        <f t="shared" si="11"/>
        <v>-0.58490566037735858</v>
      </c>
      <c r="Z28" s="1">
        <f t="shared" si="12"/>
        <v>6.6246056782334417E-2</v>
      </c>
      <c r="AA28" s="1">
        <f t="shared" si="13"/>
        <v>-0.25426621160409557</v>
      </c>
      <c r="AB28" s="1">
        <f t="shared" si="14"/>
        <v>-8.1300813008128303E-3</v>
      </c>
      <c r="AC28" s="1">
        <f t="shared" si="15"/>
        <v>0.78754578754578741</v>
      </c>
      <c r="AD28" s="1">
        <f t="shared" si="16"/>
        <v>-0.28388017118402287</v>
      </c>
      <c r="AE28" s="1">
        <v>0</v>
      </c>
      <c r="AG28" s="1">
        <v>-0.336842105263158</v>
      </c>
      <c r="AH28" s="1">
        <v>-0.17391304347826</v>
      </c>
      <c r="AI28" s="1">
        <v>-8.0213903743315801E-2</v>
      </c>
      <c r="AJ28" s="1">
        <v>-0.23711340206185499</v>
      </c>
      <c r="AK28" s="1">
        <v>-0.60869565217391197</v>
      </c>
      <c r="AL28" s="1">
        <v>1.37931034482761E-2</v>
      </c>
      <c r="AM28" s="1">
        <v>-0.19409282700421901</v>
      </c>
      <c r="AN28" s="1">
        <v>-0.54716981132075404</v>
      </c>
      <c r="AO28" s="1">
        <v>-3.15457413249209E-3</v>
      </c>
      <c r="AP28" s="1">
        <v>-0.85153583617747397</v>
      </c>
      <c r="AQ28" s="1">
        <v>8.9430894308942993E-2</v>
      </c>
      <c r="AR28" s="1">
        <v>0.487179487179487</v>
      </c>
      <c r="AS28" s="1">
        <v>-0.98288159771754602</v>
      </c>
      <c r="AT28" s="1">
        <v>1</v>
      </c>
      <c r="AV28" s="1"/>
      <c r="AW28" s="10">
        <v>0</v>
      </c>
      <c r="AX28" s="10">
        <v>1</v>
      </c>
      <c r="AY28" s="10">
        <v>2</v>
      </c>
      <c r="BB28" s="1">
        <f>$AG28*AW$8+$AH28*AW$9+$AI28*AW$10+$AJ28*AW$11+$AK28*AW$12+$AL28*AW$13+$AM28*AW$14+$AN28*AW$15+$AO28*AW$16+$AP28*AW$17+$AQ28*AW$18+$AR28*AW$19+$AS28*AW$20+AW$7</f>
        <v>2.3178086578365487</v>
      </c>
      <c r="BC28" s="1">
        <f>$AG28*AX$8+$AH28*AX$9+$AI28*AX$10+$AJ28*AX$11+$AK28*AX$12+$AL28*AX$13+$AM28*AX$14+$AN28*AX$15+$AO28*AX$16+$AP28*AX$17+$AQ28*AX$18+$AR28*AX$19+$AS28*AX$20+AX$7</f>
        <v>1.744946871254154</v>
      </c>
      <c r="BD28" s="1">
        <f t="shared" si="17"/>
        <v>0.50467793269841477</v>
      </c>
      <c r="BF28" s="1">
        <f t="shared" si="18"/>
        <v>0.91034124393511495</v>
      </c>
      <c r="BG28" s="1">
        <f t="shared" si="19"/>
        <v>0.85131432059803702</v>
      </c>
      <c r="BH28" s="1">
        <f t="shared" si="20"/>
        <v>0.62355803135030352</v>
      </c>
      <c r="BI28" s="17"/>
      <c r="BJ28" s="1">
        <f t="shared" si="21"/>
        <v>-0.71671985302996788</v>
      </c>
      <c r="BK28" s="1">
        <f t="shared" si="22"/>
        <v>1.5044185917636721</v>
      </c>
      <c r="BL28" s="1">
        <f t="shared" si="23"/>
        <v>0.27881978708926158</v>
      </c>
      <c r="BM28" s="1">
        <f t="shared" si="24"/>
        <v>-0.91723068337039448</v>
      </c>
      <c r="BN28" s="17"/>
      <c r="BO28" s="1">
        <f>1/(1+EXP(-BJ28))</f>
        <v>0.3281157021965439</v>
      </c>
      <c r="BP28" s="1">
        <f>1/(1+EXP(-BK28))</f>
        <v>0.81823256895083574</v>
      </c>
      <c r="BQ28" s="1">
        <f>1/(1+EXP(-BL28))</f>
        <v>0.56925685530289527</v>
      </c>
      <c r="BR28" s="1">
        <f>1/(1+EXP(-BM28))</f>
        <v>0.28552249752206721</v>
      </c>
      <c r="BT28" s="1">
        <f t="shared" si="25"/>
        <v>-0.50388118757982614</v>
      </c>
      <c r="BU28" s="1">
        <f t="shared" si="26"/>
        <v>-0.46277749139906876</v>
      </c>
      <c r="BV28" s="1">
        <f t="shared" si="30"/>
        <v>-1.1887801485130967</v>
      </c>
      <c r="BX28" s="1">
        <f t="shared" si="27"/>
        <v>0.37662900975381353</v>
      </c>
      <c r="BY28" s="1">
        <f t="shared" si="31"/>
        <v>0.38632713288153081</v>
      </c>
      <c r="BZ28" s="1">
        <f t="shared" si="28"/>
        <v>0.23347717622468087</v>
      </c>
      <c r="CA28" s="6">
        <f t="shared" si="29"/>
        <v>1</v>
      </c>
      <c r="CB28" s="6">
        <f>wine_dataset_test_split[[#This Row],[target]]</f>
        <v>1</v>
      </c>
      <c r="CC28" s="6">
        <v>1</v>
      </c>
    </row>
    <row r="29" spans="2:84" x14ac:dyDescent="0.2">
      <c r="B29" s="1">
        <v>13.64</v>
      </c>
      <c r="C29" s="1">
        <v>3.1</v>
      </c>
      <c r="D29" s="1">
        <v>2.56</v>
      </c>
      <c r="E29" s="1">
        <v>15.2</v>
      </c>
      <c r="F29" s="1">
        <v>116</v>
      </c>
      <c r="G29" s="1">
        <v>2.7</v>
      </c>
      <c r="H29" s="1">
        <v>3.03</v>
      </c>
      <c r="I29" s="1">
        <v>0.17</v>
      </c>
      <c r="J29" s="1">
        <v>1.66</v>
      </c>
      <c r="K29" s="1">
        <v>5.0999999999999996</v>
      </c>
      <c r="L29" s="1">
        <v>0.96</v>
      </c>
      <c r="M29" s="1">
        <v>3.36</v>
      </c>
      <c r="N29" s="1">
        <v>845</v>
      </c>
      <c r="O29" s="1">
        <v>0</v>
      </c>
      <c r="R29" s="1">
        <f t="shared" si="4"/>
        <v>0</v>
      </c>
      <c r="S29" s="1">
        <f t="shared" si="5"/>
        <v>0.20948616600790504</v>
      </c>
      <c r="T29" s="1">
        <f t="shared" si="6"/>
        <v>0.3796791443850267</v>
      </c>
      <c r="U29" s="1">
        <f t="shared" si="7"/>
        <v>-0.1752577319587626</v>
      </c>
      <c r="V29" s="1">
        <f t="shared" si="8"/>
        <v>-0.30434782608695654</v>
      </c>
      <c r="W29" s="1">
        <f t="shared" si="9"/>
        <v>-1.3793103448275668E-2</v>
      </c>
      <c r="X29" s="1">
        <f t="shared" si="10"/>
        <v>-0.12658227848101256</v>
      </c>
      <c r="Y29" s="1">
        <f t="shared" si="11"/>
        <v>-0.54716981132075482</v>
      </c>
      <c r="Z29" s="1">
        <f t="shared" si="12"/>
        <v>-9.4637223974762819E-3</v>
      </c>
      <c r="AA29" s="1">
        <f t="shared" si="13"/>
        <v>-0.45051194539249151</v>
      </c>
      <c r="AB29" s="1">
        <f t="shared" si="14"/>
        <v>-0.10569105691056901</v>
      </c>
      <c r="AC29" s="1">
        <f t="shared" si="15"/>
        <v>0.64835164835164827</v>
      </c>
      <c r="AD29" s="1">
        <f t="shared" si="16"/>
        <v>-0.29814550641940085</v>
      </c>
      <c r="AE29" s="1">
        <v>0</v>
      </c>
      <c r="AG29" s="1">
        <v>-0.31578947368420901</v>
      </c>
      <c r="AH29" s="1">
        <v>-0.85770750988142197</v>
      </c>
      <c r="AI29" s="1">
        <v>-1.6042780748663599E-2</v>
      </c>
      <c r="AJ29" s="1">
        <v>-0.44329896907216398</v>
      </c>
      <c r="AK29" s="1">
        <v>-0.32608695652173803</v>
      </c>
      <c r="AL29" s="1">
        <v>-0.26206896551724101</v>
      </c>
      <c r="AM29" s="1">
        <v>-0.683544303797468</v>
      </c>
      <c r="AN29" s="1">
        <v>0.88679245283018804</v>
      </c>
      <c r="AO29" s="1">
        <v>-1</v>
      </c>
      <c r="AP29" s="1">
        <v>-0.66040955631399301</v>
      </c>
      <c r="AQ29" s="1">
        <v>0.25203252032520301</v>
      </c>
      <c r="AR29" s="1">
        <v>-0.706959706959706</v>
      </c>
      <c r="AS29" s="1">
        <v>-0.42653352353780299</v>
      </c>
      <c r="AT29" s="1">
        <v>1</v>
      </c>
      <c r="AV29" s="8" t="s">
        <v>21</v>
      </c>
      <c r="AW29" s="1">
        <v>1.4272899999999999</v>
      </c>
      <c r="AX29" s="1">
        <v>-1.0994349999999999</v>
      </c>
      <c r="AY29" s="1">
        <v>-1.19089</v>
      </c>
      <c r="BB29" s="1">
        <f>$AG29*AW$8+$AH29*AW$9+$AI29*AW$10+$AJ29*AW$11+$AK29*AW$12+$AL29*AW$13+$AM29*AW$14+$AN29*AW$15+$AO29*AW$16+$AP29*AW$17+$AQ29*AW$18+$AR29*AW$19+$AS29*AW$20+AW$7</f>
        <v>1.4929384330889901</v>
      </c>
      <c r="BC29" s="1">
        <f>$AG29*AX$8+$AH29*AX$9+$AI29*AX$10+$AJ29*AX$11+$AK29*AX$12+$AL29*AX$13+$AM29*AX$14+$AN29*AX$15+$AO29*AX$16+$AP29*AX$17+$AQ29*AX$18+$AR29*AX$19+$AS29*AX$20+AX$7</f>
        <v>0.33064206679481362</v>
      </c>
      <c r="BD29" s="1">
        <f t="shared" si="17"/>
        <v>1.5240602641548235</v>
      </c>
      <c r="BF29" s="1">
        <f t="shared" si="18"/>
        <v>0.81651890573495867</v>
      </c>
      <c r="BG29" s="1">
        <f t="shared" si="19"/>
        <v>0.5819155933776522</v>
      </c>
      <c r="BH29" s="1">
        <f t="shared" si="20"/>
        <v>0.82113559717541451</v>
      </c>
      <c r="BI29" s="17"/>
      <c r="BJ29" s="1">
        <f t="shared" si="21"/>
        <v>-9.4792307253302566E-2</v>
      </c>
      <c r="BK29" s="1">
        <f t="shared" si="22"/>
        <v>1.5692106125515428</v>
      </c>
      <c r="BL29" s="1">
        <f t="shared" si="23"/>
        <v>0.48634930045662206</v>
      </c>
      <c r="BM29" s="1">
        <f t="shared" si="24"/>
        <v>-0.42371415150959368</v>
      </c>
      <c r="BN29" s="17"/>
      <c r="BO29" s="1">
        <f>1/(1+EXP(-BJ29))</f>
        <v>0.47631965233958162</v>
      </c>
      <c r="BP29" s="1">
        <f>1/(1+EXP(-BK29))</f>
        <v>0.82767104572481021</v>
      </c>
      <c r="BQ29" s="1">
        <f>1/(1+EXP(-BL29))</f>
        <v>0.61924604452380594</v>
      </c>
      <c r="BR29" s="1">
        <f>1/(1+EXP(-BM29))</f>
        <v>0.39562832878867626</v>
      </c>
      <c r="BT29" s="1">
        <f t="shared" si="25"/>
        <v>-0.75642880615795671</v>
      </c>
      <c r="BU29" s="1">
        <f t="shared" si="26"/>
        <v>-0.69781360446445939</v>
      </c>
      <c r="BV29" s="1">
        <f t="shared" si="30"/>
        <v>-0.98512026303946998</v>
      </c>
      <c r="BX29" s="1">
        <f t="shared" si="27"/>
        <v>0.31942211269787779</v>
      </c>
      <c r="BY29" s="1">
        <f t="shared" si="31"/>
        <v>0.33229715799593867</v>
      </c>
      <c r="BZ29" s="1">
        <f t="shared" si="28"/>
        <v>0.27187699382206304</v>
      </c>
      <c r="CA29" s="6">
        <f t="shared" si="29"/>
        <v>1</v>
      </c>
      <c r="CB29" s="6">
        <f>wine_dataset_test_split[[#This Row],[target]]</f>
        <v>1</v>
      </c>
      <c r="CC29" s="6">
        <v>1</v>
      </c>
    </row>
    <row r="30" spans="2:84" x14ac:dyDescent="0.2">
      <c r="B30" s="1">
        <v>14.06</v>
      </c>
      <c r="C30" s="1">
        <v>1.63</v>
      </c>
      <c r="D30" s="1">
        <v>2.2799999999999998</v>
      </c>
      <c r="E30" s="1">
        <v>16</v>
      </c>
      <c r="F30" s="1">
        <v>126</v>
      </c>
      <c r="G30" s="1">
        <v>3</v>
      </c>
      <c r="H30" s="1">
        <v>3.17</v>
      </c>
      <c r="I30" s="1">
        <v>0.24</v>
      </c>
      <c r="J30" s="1">
        <v>2.1</v>
      </c>
      <c r="K30" s="1">
        <v>5.65</v>
      </c>
      <c r="L30" s="1">
        <v>1.0900000000000001</v>
      </c>
      <c r="M30" s="1">
        <v>3.71</v>
      </c>
      <c r="N30" s="1">
        <v>780</v>
      </c>
      <c r="O30" s="1">
        <v>0</v>
      </c>
      <c r="R30" s="1">
        <f t="shared" si="4"/>
        <v>0.41052631578947429</v>
      </c>
      <c r="S30" s="1">
        <f t="shared" si="5"/>
        <v>-0.55731225296442677</v>
      </c>
      <c r="T30" s="1">
        <f t="shared" si="6"/>
        <v>6.9518716577539941E-2</v>
      </c>
      <c r="U30" s="1">
        <f t="shared" si="7"/>
        <v>-0.38144329896907192</v>
      </c>
      <c r="V30" s="1">
        <f t="shared" si="8"/>
        <v>-0.32608695652173914</v>
      </c>
      <c r="W30" s="1">
        <f t="shared" si="9"/>
        <v>0.12413793103448278</v>
      </c>
      <c r="X30" s="1">
        <f t="shared" si="10"/>
        <v>7.1729957805907185E-2</v>
      </c>
      <c r="Y30" s="1">
        <f t="shared" si="11"/>
        <v>-0.47169811320754718</v>
      </c>
      <c r="Z30" s="1">
        <f t="shared" si="12"/>
        <v>-0.19242902208201884</v>
      </c>
      <c r="AA30" s="1">
        <f t="shared" si="13"/>
        <v>-0.56996587030716728</v>
      </c>
      <c r="AB30" s="1">
        <f t="shared" si="14"/>
        <v>2.4390243902439268E-2</v>
      </c>
      <c r="AC30" s="1">
        <f t="shared" si="15"/>
        <v>1</v>
      </c>
      <c r="AD30" s="1">
        <f t="shared" si="16"/>
        <v>7.9885877318117027E-2</v>
      </c>
      <c r="AE30" s="1">
        <v>0</v>
      </c>
      <c r="AG30" s="1">
        <v>0.41052631578947402</v>
      </c>
      <c r="AH30" s="1">
        <v>-0.55731225296442599</v>
      </c>
      <c r="AI30" s="1">
        <v>6.9518716577539497E-2</v>
      </c>
      <c r="AJ30" s="1">
        <v>-0.38144329896907098</v>
      </c>
      <c r="AK30" s="1">
        <v>-0.32608695652173803</v>
      </c>
      <c r="AL30" s="1">
        <v>0.12413793103448199</v>
      </c>
      <c r="AM30" s="1">
        <v>7.1729957805906894E-2</v>
      </c>
      <c r="AN30" s="1">
        <v>-0.47169811320754701</v>
      </c>
      <c r="AO30" s="1">
        <v>-0.19242902208201901</v>
      </c>
      <c r="AP30" s="1">
        <v>-0.56996587030716706</v>
      </c>
      <c r="AQ30" s="1">
        <v>2.4390243902439199E-2</v>
      </c>
      <c r="AR30" s="1">
        <v>1</v>
      </c>
      <c r="AS30" s="1">
        <v>7.9885877318116999E-2</v>
      </c>
      <c r="AT30" s="1">
        <v>0</v>
      </c>
      <c r="AV30" s="8" t="s">
        <v>22</v>
      </c>
      <c r="AW30" s="1">
        <v>-1.215069</v>
      </c>
      <c r="AX30" s="1">
        <v>-0.86147499999999999</v>
      </c>
      <c r="AY30" s="1">
        <v>0.33987400000000001</v>
      </c>
      <c r="BB30" s="1">
        <f>$AG30*AW$8+$AH30*AW$9+$AI30*AW$10+$AJ30*AW$11+$AK30*AW$12+$AL30*AW$13+$AM30*AW$14+$AN30*AW$15+$AO30*AW$16+$AP30*AW$17+$AQ30*AW$18+$AR30*AW$19+$AS30*AW$20+AW$7</f>
        <v>0.14791466648058516</v>
      </c>
      <c r="BC30" s="1">
        <f>$AG30*AX$8+$AH30*AX$9+$AI30*AX$10+$AJ30*AX$11+$AK30*AX$12+$AL30*AX$13+$AM30*AX$14+$AN30*AX$15+$AO30*AX$16+$AP30*AX$17+$AQ30*AX$18+$AR30*AX$19+$AS30*AX$20+AX$7</f>
        <v>3.325274402377898</v>
      </c>
      <c r="BD30" s="1">
        <f t="shared" si="17"/>
        <v>0.11057305593353248</v>
      </c>
      <c r="BF30" s="1">
        <f t="shared" si="18"/>
        <v>0.53691139322299863</v>
      </c>
      <c r="BG30" s="1">
        <f t="shared" si="19"/>
        <v>0.96528576663262478</v>
      </c>
      <c r="BH30" s="1">
        <f t="shared" si="20"/>
        <v>0.52761513357440826</v>
      </c>
      <c r="BI30" s="17"/>
      <c r="BJ30" s="1">
        <f t="shared" si="21"/>
        <v>-0.42031093702946787</v>
      </c>
      <c r="BK30" s="1">
        <f t="shared" si="22"/>
        <v>0.86260676304894957</v>
      </c>
      <c r="BL30" s="1">
        <f t="shared" si="23"/>
        <v>2.4596758669091279E-2</v>
      </c>
      <c r="BM30" s="1">
        <f t="shared" si="24"/>
        <v>-0.96898810570899863</v>
      </c>
      <c r="BN30" s="17"/>
      <c r="BO30" s="1">
        <f>1/(1+EXP(-BJ30))</f>
        <v>0.39644234802970196</v>
      </c>
      <c r="BP30" s="1">
        <f>1/(1+EXP(-BK30))</f>
        <v>0.70320499397684633</v>
      </c>
      <c r="BQ30" s="1">
        <f>1/(1+EXP(-BL30))</f>
        <v>0.50614887966410704</v>
      </c>
      <c r="BR30" s="1">
        <f>1/(1+EXP(-BM30))</f>
        <v>0.27508224014449623</v>
      </c>
      <c r="BT30" s="1">
        <f t="shared" si="25"/>
        <v>-0.39224533381941473</v>
      </c>
      <c r="BU30" s="1">
        <f t="shared" si="26"/>
        <v>-0.68066842748213641</v>
      </c>
      <c r="BV30" s="1">
        <f t="shared" si="30"/>
        <v>-1.1083468177195728</v>
      </c>
      <c r="BX30" s="1">
        <f t="shared" si="27"/>
        <v>0.40317689935178347</v>
      </c>
      <c r="BY30" s="1">
        <f t="shared" si="31"/>
        <v>0.33611213283903291</v>
      </c>
      <c r="BZ30" s="1">
        <f t="shared" si="28"/>
        <v>0.24817922128689052</v>
      </c>
      <c r="CA30" s="6">
        <f t="shared" si="29"/>
        <v>0</v>
      </c>
      <c r="CB30" s="6">
        <f>wine_dataset_test_split[[#This Row],[target]]</f>
        <v>0</v>
      </c>
      <c r="CC30" s="6">
        <v>0</v>
      </c>
    </row>
    <row r="31" spans="2:84" x14ac:dyDescent="0.2">
      <c r="B31" s="1">
        <v>12.93</v>
      </c>
      <c r="C31" s="1">
        <v>3.8</v>
      </c>
      <c r="D31" s="1">
        <v>2.65</v>
      </c>
      <c r="E31" s="1">
        <v>18.600000000000001</v>
      </c>
      <c r="F31" s="1">
        <v>102</v>
      </c>
      <c r="G31" s="1">
        <v>2.41</v>
      </c>
      <c r="H31" s="1">
        <v>2.41</v>
      </c>
      <c r="I31" s="1">
        <v>0.25</v>
      </c>
      <c r="J31" s="1">
        <v>1.98</v>
      </c>
      <c r="K31" s="1">
        <v>4.5</v>
      </c>
      <c r="L31" s="1">
        <v>1.03</v>
      </c>
      <c r="M31" s="1">
        <v>3.52</v>
      </c>
      <c r="N31" s="1">
        <v>770</v>
      </c>
      <c r="O31" s="1">
        <v>0</v>
      </c>
      <c r="R31" s="1">
        <f t="shared" si="4"/>
        <v>-4.2105263157894757E-2</v>
      </c>
      <c r="S31" s="1">
        <f t="shared" si="5"/>
        <v>-0.66007905138339917</v>
      </c>
      <c r="T31" s="1">
        <f t="shared" si="6"/>
        <v>0.2406417112299466</v>
      </c>
      <c r="U31" s="1">
        <f t="shared" si="7"/>
        <v>-0.25773195876288646</v>
      </c>
      <c r="V31" s="1">
        <f t="shared" si="8"/>
        <v>-0.45652173913043481</v>
      </c>
      <c r="W31" s="1">
        <f t="shared" si="9"/>
        <v>3.4482758620689724E-2</v>
      </c>
      <c r="X31" s="1">
        <f t="shared" si="10"/>
        <v>-0.14345991561181426</v>
      </c>
      <c r="Y31" s="1">
        <f t="shared" si="11"/>
        <v>-0.50943396226415094</v>
      </c>
      <c r="Z31" s="1">
        <f t="shared" si="12"/>
        <v>-0.33753943217665616</v>
      </c>
      <c r="AA31" s="1">
        <f t="shared" si="13"/>
        <v>-0.54778156996587035</v>
      </c>
      <c r="AB31" s="1">
        <f t="shared" si="14"/>
        <v>-8.1300813008128303E-3</v>
      </c>
      <c r="AC31" s="1">
        <f t="shared" si="15"/>
        <v>0.72893772893772879</v>
      </c>
      <c r="AD31" s="1">
        <f t="shared" si="16"/>
        <v>5.1355206847360835E-2</v>
      </c>
      <c r="AE31" s="1">
        <v>0</v>
      </c>
      <c r="AG31" s="1">
        <v>0.66315789473684195</v>
      </c>
      <c r="AH31" s="1">
        <v>-0.66403162055335896</v>
      </c>
      <c r="AI31" s="1">
        <v>0.19786096256684399</v>
      </c>
      <c r="AJ31" s="1">
        <v>-0.39175257731958701</v>
      </c>
      <c r="AK31" s="1">
        <v>-0.17391304347826</v>
      </c>
      <c r="AL31" s="1">
        <v>0.6</v>
      </c>
      <c r="AM31" s="1">
        <v>0.51476793248945096</v>
      </c>
      <c r="AN31" s="1">
        <v>-0.28301886792452802</v>
      </c>
      <c r="AO31" s="1">
        <v>-8.5173501577286898E-2</v>
      </c>
      <c r="AP31" s="1">
        <v>0.26621160409556199</v>
      </c>
      <c r="AQ31" s="1">
        <v>0.219512195121951</v>
      </c>
      <c r="AR31" s="1">
        <v>0.13553113553113499</v>
      </c>
      <c r="AS31" s="1">
        <v>1</v>
      </c>
      <c r="AT31" s="1">
        <v>0</v>
      </c>
      <c r="AV31" s="8" t="s">
        <v>23</v>
      </c>
      <c r="AW31" s="1">
        <v>-1.059944</v>
      </c>
      <c r="AX31" s="1">
        <v>1.1649069999999999</v>
      </c>
      <c r="AY31" s="1">
        <v>-0.508073</v>
      </c>
      <c r="BB31" s="1">
        <f>$AG31*AW$8+$AH31*AW$9+$AI31*AW$10+$AJ31*AW$11+$AK31*AW$12+$AL31*AW$13+$AM31*AW$14+$AN31*AW$15+$AO31*AW$16+$AP31*AW$17+$AQ31*AW$18+$AR31*AW$19+$AS31*AW$20+AW$7</f>
        <v>-1.4102803011504632</v>
      </c>
      <c r="BC31" s="1">
        <f>$AG31*AX$8+$AH31*AX$9+$AI31*AX$10+$AJ31*AX$11+$AK31*AX$12+$AL31*AX$13+$AM31*AX$14+$AN31*AX$15+$AO31*AX$16+$AP31*AX$17+$AQ31*AX$18+$AR31*AX$19+$AS31*AX$20+AX$7</f>
        <v>2.2493244243797812</v>
      </c>
      <c r="BD31" s="1">
        <f t="shared" si="17"/>
        <v>-0.75583386748621928</v>
      </c>
      <c r="BF31" s="1">
        <f t="shared" si="18"/>
        <v>0.19618984928037225</v>
      </c>
      <c r="BG31" s="1">
        <f t="shared" si="19"/>
        <v>0.90459224540401884</v>
      </c>
      <c r="BH31" s="1">
        <f t="shared" si="20"/>
        <v>0.31955146127592504</v>
      </c>
      <c r="BI31" s="17"/>
      <c r="BJ31" s="1">
        <f t="shared" si="21"/>
        <v>-0.16443331819970153</v>
      </c>
      <c r="BK31" s="1">
        <f t="shared" si="22"/>
        <v>0.32054145567731673</v>
      </c>
      <c r="BL31" s="1">
        <f t="shared" si="23"/>
        <v>-0.32707935959005729</v>
      </c>
      <c r="BM31" s="1">
        <f t="shared" si="24"/>
        <v>-0.98732590771410533</v>
      </c>
      <c r="BN31" s="17"/>
      <c r="BO31" s="1">
        <f>1/(1+EXP(-BJ31))</f>
        <v>0.45898404569185597</v>
      </c>
      <c r="BP31" s="1">
        <f>1/(1+EXP(-BK31))</f>
        <v>0.5794562033758941</v>
      </c>
      <c r="BQ31" s="1">
        <f>1/(1+EXP(-BL31))</f>
        <v>0.41895142918823353</v>
      </c>
      <c r="BR31" s="1">
        <f>1/(1+EXP(-BM31))</f>
        <v>0.27144058439590019</v>
      </c>
      <c r="BT31" s="1">
        <f t="shared" si="25"/>
        <v>-0.23708586915065299</v>
      </c>
      <c r="BU31" s="1">
        <f t="shared" si="26"/>
        <v>-0.92792378571726242</v>
      </c>
      <c r="BV31" s="1">
        <f t="shared" si="30"/>
        <v>-1.0092817587932787</v>
      </c>
      <c r="BX31" s="1">
        <f t="shared" si="27"/>
        <v>0.44100461695039256</v>
      </c>
      <c r="BY31" s="1">
        <f t="shared" si="31"/>
        <v>0.28334612314886592</v>
      </c>
      <c r="BZ31" s="1">
        <f t="shared" si="28"/>
        <v>0.2671204352445336</v>
      </c>
      <c r="CA31" s="6">
        <f t="shared" si="29"/>
        <v>0</v>
      </c>
      <c r="CB31" s="6">
        <f>wine_dataset_test_split[[#This Row],[target]]</f>
        <v>0</v>
      </c>
      <c r="CC31" s="6">
        <v>0</v>
      </c>
    </row>
    <row r="32" spans="2:84" x14ac:dyDescent="0.2">
      <c r="B32" s="1">
        <v>13.71</v>
      </c>
      <c r="C32" s="1">
        <v>1.86</v>
      </c>
      <c r="D32" s="1">
        <v>2.36</v>
      </c>
      <c r="E32" s="1">
        <v>16.600000000000001</v>
      </c>
      <c r="F32" s="1">
        <v>101</v>
      </c>
      <c r="G32" s="1">
        <v>2.61</v>
      </c>
      <c r="H32" s="1">
        <v>2.88</v>
      </c>
      <c r="I32" s="1">
        <v>0.27</v>
      </c>
      <c r="J32" s="1">
        <v>1.69</v>
      </c>
      <c r="K32" s="1">
        <v>3.8</v>
      </c>
      <c r="L32" s="1">
        <v>1.1100000000000001</v>
      </c>
      <c r="M32" s="1">
        <v>4</v>
      </c>
      <c r="N32" s="1">
        <v>1035</v>
      </c>
      <c r="O32" s="1">
        <v>0</v>
      </c>
      <c r="R32" s="1">
        <f t="shared" si="4"/>
        <v>0.30000000000000004</v>
      </c>
      <c r="S32" s="1">
        <f t="shared" si="5"/>
        <v>-0.57707509881422925</v>
      </c>
      <c r="T32" s="1">
        <f t="shared" si="6"/>
        <v>0.33689839572192493</v>
      </c>
      <c r="U32" s="1">
        <f t="shared" si="7"/>
        <v>-3.0927835051546282E-2</v>
      </c>
      <c r="V32" s="1">
        <f t="shared" si="8"/>
        <v>-0.43478260869565222</v>
      </c>
      <c r="W32" s="1">
        <f t="shared" si="9"/>
        <v>6.8965517241379226E-2</v>
      </c>
      <c r="X32" s="1">
        <f t="shared" si="10"/>
        <v>-4.2194092827004259E-2</v>
      </c>
      <c r="Y32" s="1">
        <f t="shared" si="11"/>
        <v>-0.4339622641509433</v>
      </c>
      <c r="Z32" s="1">
        <f t="shared" si="12"/>
        <v>-0.21135646687697163</v>
      </c>
      <c r="AA32" s="1">
        <f t="shared" si="13"/>
        <v>-0.61774744027303752</v>
      </c>
      <c r="AB32" s="1">
        <f t="shared" si="14"/>
        <v>4.0650406504065151E-2</v>
      </c>
      <c r="AC32" s="1">
        <f t="shared" si="15"/>
        <v>0.86813186813186793</v>
      </c>
      <c r="AD32" s="1">
        <f t="shared" si="16"/>
        <v>-0.19115549215406558</v>
      </c>
      <c r="AE32" s="1">
        <v>0</v>
      </c>
      <c r="AG32" s="1">
        <v>-0.29473684210526302</v>
      </c>
      <c r="AH32" s="1">
        <v>-0.86956521739130399</v>
      </c>
      <c r="AI32" s="1">
        <v>-0.20855614973261999</v>
      </c>
      <c r="AJ32" s="1">
        <v>-0.185567010309278</v>
      </c>
      <c r="AK32" s="1">
        <v>-0.60869565217391197</v>
      </c>
      <c r="AL32" s="1">
        <v>0.75172413793103399</v>
      </c>
      <c r="AM32" s="1">
        <v>0.43881856540084302</v>
      </c>
      <c r="AN32" s="1">
        <v>-0.58490566037735803</v>
      </c>
      <c r="AO32" s="1">
        <v>-2.8391167192429002E-2</v>
      </c>
      <c r="AP32" s="1">
        <v>-0.45051194539249101</v>
      </c>
      <c r="AQ32" s="1">
        <v>-8.9430894308942799E-2</v>
      </c>
      <c r="AR32" s="1">
        <v>9.8901098901098994E-2</v>
      </c>
      <c r="AS32" s="1">
        <v>-0.45506419400855902</v>
      </c>
      <c r="AT32" s="1">
        <v>1</v>
      </c>
      <c r="AV32" s="8" t="s">
        <v>24</v>
      </c>
      <c r="AW32" s="1">
        <v>-1.144663</v>
      </c>
      <c r="AX32" s="1">
        <v>0.62115299999999996</v>
      </c>
      <c r="AY32" s="1">
        <v>-0.23571300000000001</v>
      </c>
      <c r="BB32" s="1">
        <f>$AG32*AW$8+$AH32*AW$9+$AI32*AW$10+$AJ32*AW$11+$AK32*AW$12+$AL32*AW$13+$AM32*AW$14+$AN32*AW$15+$AO32*AW$16+$AP32*AW$17+$AQ32*AW$18+$AR32*AW$19+$AS32*AW$20+AW$7</f>
        <v>1.8139140598853671</v>
      </c>
      <c r="BC32" s="1">
        <f>$AG32*AX$8+$AH32*AX$9+$AI32*AX$10+$AJ32*AX$11+$AK32*AX$12+$AL32*AX$13+$AM32*AX$14+$AN32*AX$15+$AO32*AX$16+$AP32*AX$17+$AQ32*AX$18+$AR32*AX$19+$AS32*AX$20+AX$7</f>
        <v>1.7797255411428294</v>
      </c>
      <c r="BD32" s="1">
        <f t="shared" si="17"/>
        <v>0.46826014671107974</v>
      </c>
      <c r="BF32" s="1">
        <f t="shared" si="18"/>
        <v>0.85983425875708197</v>
      </c>
      <c r="BG32" s="1">
        <f t="shared" si="19"/>
        <v>0.85566297249266832</v>
      </c>
      <c r="BH32" s="1">
        <f t="shared" si="20"/>
        <v>0.6149718738694343</v>
      </c>
      <c r="BI32" s="17"/>
      <c r="BJ32" s="1">
        <f t="shared" si="21"/>
        <v>-0.66131408153246851</v>
      </c>
      <c r="BK32" s="1">
        <f t="shared" si="22"/>
        <v>1.4247195578338516</v>
      </c>
      <c r="BL32" s="1">
        <f t="shared" si="23"/>
        <v>0.25025058146403356</v>
      </c>
      <c r="BM32" s="1">
        <f t="shared" si="24"/>
        <v>-0.90939061603652649</v>
      </c>
      <c r="BN32" s="17"/>
      <c r="BO32" s="1">
        <f>1/(1+EXP(-BJ32))</f>
        <v>0.34044448316767556</v>
      </c>
      <c r="BP32" s="1">
        <f>1/(1+EXP(-BK32))</f>
        <v>0.80607722813652505</v>
      </c>
      <c r="BQ32" s="1">
        <f>1/(1+EXP(-BL32))</f>
        <v>0.56223817656335207</v>
      </c>
      <c r="BR32" s="1">
        <f>1/(1+EXP(-BM32))</f>
        <v>0.28712455223930505</v>
      </c>
      <c r="BT32" s="1">
        <f t="shared" si="25"/>
        <v>-0.4980198137898042</v>
      </c>
      <c r="BU32" s="1">
        <f t="shared" si="26"/>
        <v>-0.49409184948975526</v>
      </c>
      <c r="BV32" s="1">
        <f t="shared" si="30"/>
        <v>-1.1742881233620275</v>
      </c>
      <c r="BX32" s="1">
        <f t="shared" si="27"/>
        <v>0.37800613262768096</v>
      </c>
      <c r="BY32" s="1">
        <f t="shared" si="31"/>
        <v>0.37893010732874272</v>
      </c>
      <c r="BZ32" s="1">
        <f t="shared" si="28"/>
        <v>0.23608076063727959</v>
      </c>
      <c r="CA32" s="6">
        <f t="shared" si="29"/>
        <v>1</v>
      </c>
      <c r="CB32" s="6">
        <f>wine_dataset_test_split[[#This Row],[target]]</f>
        <v>1</v>
      </c>
      <c r="CC32" s="6">
        <v>1</v>
      </c>
    </row>
    <row r="33" spans="2:81" x14ac:dyDescent="0.2">
      <c r="B33" s="1">
        <v>12.85</v>
      </c>
      <c r="C33" s="1">
        <v>1.6</v>
      </c>
      <c r="D33" s="1">
        <v>2.52</v>
      </c>
      <c r="E33" s="1">
        <v>17.8</v>
      </c>
      <c r="F33" s="1">
        <v>95</v>
      </c>
      <c r="G33" s="1">
        <v>2.48</v>
      </c>
      <c r="H33" s="1">
        <v>2.37</v>
      </c>
      <c r="I33" s="1">
        <v>0.26</v>
      </c>
      <c r="J33" s="1">
        <v>1.46</v>
      </c>
      <c r="K33" s="1">
        <v>3.93</v>
      </c>
      <c r="L33" s="1">
        <v>1.0900000000000001</v>
      </c>
      <c r="M33" s="1">
        <v>3.63</v>
      </c>
      <c r="N33" s="1">
        <v>1015</v>
      </c>
      <c r="O33" s="1">
        <v>0</v>
      </c>
      <c r="R33" s="1">
        <f t="shared" si="4"/>
        <v>6.3157894736842524E-2</v>
      </c>
      <c r="S33" s="1">
        <f t="shared" si="5"/>
        <v>-0.48221343873517786</v>
      </c>
      <c r="T33" s="1">
        <f t="shared" si="6"/>
        <v>0.98930481283422478</v>
      </c>
      <c r="U33" s="1">
        <f t="shared" si="7"/>
        <v>0.48453608247422686</v>
      </c>
      <c r="V33" s="1">
        <f t="shared" si="8"/>
        <v>0.17391304347826098</v>
      </c>
      <c r="W33" s="1">
        <f t="shared" si="9"/>
        <v>0.13793103448275867</v>
      </c>
      <c r="X33" s="1">
        <f t="shared" si="10"/>
        <v>-1.2658227848101222E-2</v>
      </c>
      <c r="Y33" s="1">
        <f t="shared" si="11"/>
        <v>0.28301886792452802</v>
      </c>
      <c r="Z33" s="1">
        <f t="shared" si="12"/>
        <v>-4.7318611987381631E-2</v>
      </c>
      <c r="AA33" s="1">
        <f t="shared" si="13"/>
        <v>-0.60750853242320824</v>
      </c>
      <c r="AB33" s="1">
        <f t="shared" si="14"/>
        <v>5.6910569105691033E-2</v>
      </c>
      <c r="AC33" s="1">
        <f t="shared" si="15"/>
        <v>0.413919413919414</v>
      </c>
      <c r="AD33" s="1">
        <f t="shared" si="16"/>
        <v>-0.21255349500713272</v>
      </c>
      <c r="AE33" s="1">
        <v>0</v>
      </c>
      <c r="AG33" s="1">
        <v>-0.39999999999999902</v>
      </c>
      <c r="AH33" s="1">
        <v>-0.71936758893280595</v>
      </c>
      <c r="AI33" s="1">
        <v>0.25133689839572099</v>
      </c>
      <c r="AJ33" s="1">
        <v>-0.134020618556701</v>
      </c>
      <c r="AK33" s="1">
        <v>-0.26086956521739102</v>
      </c>
      <c r="AL33" s="1">
        <v>-0.37241379310344802</v>
      </c>
      <c r="AM33" s="1">
        <v>-0.40506329113924</v>
      </c>
      <c r="AN33" s="1">
        <v>0.20754716981131999</v>
      </c>
      <c r="AO33" s="1">
        <v>-0.60883280757097702</v>
      </c>
      <c r="AP33" s="1">
        <v>-0.71501706484641603</v>
      </c>
      <c r="AQ33" s="1">
        <v>0.57723577235772305</v>
      </c>
      <c r="AR33" s="1">
        <v>-0.29670329670329598</v>
      </c>
      <c r="AS33" s="1">
        <v>-0.89015691868758895</v>
      </c>
      <c r="AT33" s="1">
        <v>1</v>
      </c>
      <c r="AV33" s="8" t="s">
        <v>25</v>
      </c>
      <c r="AW33" s="1">
        <v>-4.7632000000000001E-2</v>
      </c>
      <c r="AX33" s="1">
        <v>-1.356949</v>
      </c>
      <c r="AY33" s="1">
        <v>1.5427679999999999</v>
      </c>
      <c r="BB33" s="1">
        <f>$AG33*AW$8+$AH33*AW$9+$AI33*AW$10+$AJ33*AW$11+$AK33*AW$12+$AL33*AW$13+$AM33*AW$14+$AN33*AW$15+$AO33*AW$16+$AP33*AW$17+$AQ33*AW$18+$AR33*AW$19+$AS33*AW$20+AW$7</f>
        <v>2.2545065518479568</v>
      </c>
      <c r="BC33" s="1">
        <f>$AG33*AX$8+$AH33*AX$9+$AI33*AX$10+$AJ33*AX$11+$AK33*AX$12+$AL33*AX$13+$AM33*AX$14+$AN33*AX$15+$AO33*AX$16+$AP33*AX$17+$AQ33*AX$18+$AR33*AX$19+$AS33*AX$20+AX$7</f>
        <v>0.60308118822219159</v>
      </c>
      <c r="BD33" s="1">
        <f t="shared" si="17"/>
        <v>0.90111730694225989</v>
      </c>
      <c r="BF33" s="1">
        <f t="shared" si="18"/>
        <v>0.90503855276242096</v>
      </c>
      <c r="BG33" s="1">
        <f t="shared" si="19"/>
        <v>0.64636091675014107</v>
      </c>
      <c r="BH33" s="1">
        <f t="shared" si="20"/>
        <v>0.71117905541662918</v>
      </c>
      <c r="BI33" s="17"/>
      <c r="BJ33" s="1">
        <f t="shared" si="21"/>
        <v>-0.41743507245931455</v>
      </c>
      <c r="BK33" s="1">
        <f t="shared" si="22"/>
        <v>1.6303258749925558</v>
      </c>
      <c r="BL33" s="1">
        <f t="shared" si="23"/>
        <v>0.39155757527073931</v>
      </c>
      <c r="BM33" s="1">
        <f t="shared" si="24"/>
        <v>-0.63368029076321086</v>
      </c>
      <c r="BN33" s="17"/>
      <c r="BO33" s="1">
        <f>1/(1+EXP(-BJ33))</f>
        <v>0.39713067738430752</v>
      </c>
      <c r="BP33" s="1">
        <f>1/(1+EXP(-BK33))</f>
        <v>0.83621427549307192</v>
      </c>
      <c r="BQ33" s="1">
        <f>1/(1+EXP(-BL33))</f>
        <v>0.59665759753545045</v>
      </c>
      <c r="BR33" s="1">
        <f>1/(1+EXP(-BM33))</f>
        <v>0.34667651205161898</v>
      </c>
      <c r="BT33" s="1">
        <f t="shared" si="25"/>
        <v>-0.64107625025166581</v>
      </c>
      <c r="BU33" s="1">
        <f t="shared" si="26"/>
        <v>-0.56724797694783313</v>
      </c>
      <c r="BV33" s="1">
        <f t="shared" si="30"/>
        <v>-1.086572026890299</v>
      </c>
      <c r="BX33" s="1">
        <f t="shared" si="27"/>
        <v>0.34500329209082814</v>
      </c>
      <c r="BY33" s="1">
        <f t="shared" si="31"/>
        <v>0.36187208199897092</v>
      </c>
      <c r="BZ33" s="1">
        <f t="shared" si="28"/>
        <v>0.25226433753287908</v>
      </c>
      <c r="CA33" s="6">
        <f t="shared" si="29"/>
        <v>1</v>
      </c>
      <c r="CB33" s="6">
        <f>wine_dataset_test_split[[#This Row],[target]]</f>
        <v>1</v>
      </c>
      <c r="CC33" s="6">
        <v>1</v>
      </c>
    </row>
    <row r="34" spans="2:81" x14ac:dyDescent="0.2">
      <c r="B34" s="1">
        <v>13.5</v>
      </c>
      <c r="C34" s="1">
        <v>1.81</v>
      </c>
      <c r="D34" s="1">
        <v>2.61</v>
      </c>
      <c r="E34" s="1">
        <v>20</v>
      </c>
      <c r="F34" s="1">
        <v>96</v>
      </c>
      <c r="G34" s="1">
        <v>2.5299999999999998</v>
      </c>
      <c r="H34" s="1">
        <v>2.61</v>
      </c>
      <c r="I34" s="1">
        <v>0.28000000000000003</v>
      </c>
      <c r="J34" s="1">
        <v>1.66</v>
      </c>
      <c r="K34" s="1">
        <v>3.52</v>
      </c>
      <c r="L34" s="1">
        <v>1.1200000000000001</v>
      </c>
      <c r="M34" s="1">
        <v>3.82</v>
      </c>
      <c r="N34" s="1">
        <v>845</v>
      </c>
      <c r="O34" s="1">
        <v>0</v>
      </c>
      <c r="R34" s="1">
        <f t="shared" si="4"/>
        <v>0.24210526315789505</v>
      </c>
      <c r="S34" s="1">
        <f t="shared" si="5"/>
        <v>-0.59288537549407105</v>
      </c>
      <c r="T34" s="1">
        <f t="shared" si="6"/>
        <v>0.34759358288770059</v>
      </c>
      <c r="U34" s="1">
        <f t="shared" si="7"/>
        <v>-0.43298969072164928</v>
      </c>
      <c r="V34" s="1">
        <f t="shared" si="8"/>
        <v>-0.5</v>
      </c>
      <c r="W34" s="1">
        <f t="shared" si="9"/>
        <v>0.28965517241379324</v>
      </c>
      <c r="X34" s="1">
        <f t="shared" si="10"/>
        <v>9.704641350210963E-2</v>
      </c>
      <c r="Y34" s="1">
        <f t="shared" si="11"/>
        <v>-0.20754716981132071</v>
      </c>
      <c r="Z34" s="1">
        <f t="shared" si="12"/>
        <v>-0.34384858044164035</v>
      </c>
      <c r="AA34" s="1">
        <f t="shared" si="13"/>
        <v>-0.39931740614334477</v>
      </c>
      <c r="AB34" s="1">
        <f t="shared" si="14"/>
        <v>-0.28455284552845517</v>
      </c>
      <c r="AC34" s="1">
        <f t="shared" si="15"/>
        <v>0.4285714285714286</v>
      </c>
      <c r="AD34" s="1">
        <f t="shared" si="16"/>
        <v>0.30813124108416545</v>
      </c>
      <c r="AE34" s="1">
        <v>0</v>
      </c>
      <c r="AG34" s="1">
        <v>0.41578947368421099</v>
      </c>
      <c r="AH34" s="1">
        <v>-0.72727272727272696</v>
      </c>
      <c r="AI34" s="1">
        <v>0.21925133689839499</v>
      </c>
      <c r="AJ34" s="1">
        <v>-0.37113402061855599</v>
      </c>
      <c r="AK34" s="1">
        <v>-0.17391304347826</v>
      </c>
      <c r="AL34" s="1">
        <v>0.66896551724137898</v>
      </c>
      <c r="AM34" s="1">
        <v>0.40506329113924</v>
      </c>
      <c r="AN34" s="1">
        <v>-0.77358490566037696</v>
      </c>
      <c r="AO34" s="1">
        <v>2.8391167192429002E-2</v>
      </c>
      <c r="AP34" s="1">
        <v>-5.8020477815699599E-2</v>
      </c>
      <c r="AQ34" s="1">
        <v>-0.33333333333333298</v>
      </c>
      <c r="AR34" s="1">
        <v>0.17216117216117199</v>
      </c>
      <c r="AS34" s="1">
        <v>0.43651925820256698</v>
      </c>
      <c r="AT34" s="1">
        <v>0</v>
      </c>
      <c r="BB34" s="1">
        <f>$AG34*AW$8+$AH34*AW$9+$AI34*AW$10+$AJ34*AW$11+$AK34*AW$12+$AL34*AW$13+$AM34*AW$14+$AN34*AW$15+$AO34*AW$16+$AP34*AW$17+$AQ34*AW$18+$AR34*AW$19+$AS34*AW$20+AW$7</f>
        <v>-0.91970382060481271</v>
      </c>
      <c r="BC34" s="1">
        <f>$AG34*AX$8+$AH34*AX$9+$AI34*AX$10+$AJ34*AX$11+$AK34*AX$12+$AL34*AX$13+$AM34*AX$14+$AN34*AX$15+$AO34*AX$16+$AP34*AX$17+$AQ34*AX$18+$AR34*AX$19+$AS34*AX$20+AX$7</f>
        <v>2.6040148085446249</v>
      </c>
      <c r="BD34" s="1">
        <f t="shared" si="17"/>
        <v>-6.5263129461011163E-2</v>
      </c>
      <c r="BF34" s="1">
        <f t="shared" si="18"/>
        <v>0.28501824673574611</v>
      </c>
      <c r="BG34" s="1">
        <f t="shared" si="19"/>
        <v>0.93111951936861692</v>
      </c>
      <c r="BH34" s="1">
        <f t="shared" si="20"/>
        <v>0.48369000628765796</v>
      </c>
      <c r="BI34" s="17"/>
      <c r="BJ34" s="1">
        <f t="shared" si="21"/>
        <v>-9.7033010623601812E-2</v>
      </c>
      <c r="BK34" s="1">
        <f t="shared" si="22"/>
        <v>0.49320642617398958</v>
      </c>
      <c r="BL34" s="1">
        <f t="shared" si="23"/>
        <v>-0.11435216706214013</v>
      </c>
      <c r="BM34" s="1">
        <f t="shared" si="24"/>
        <v>-0.87901011673373342</v>
      </c>
      <c r="BN34" s="17"/>
      <c r="BO34" s="1">
        <f>1/(1+EXP(-BJ34))</f>
        <v>0.47576076288015284</v>
      </c>
      <c r="BP34" s="1">
        <f>1/(1+EXP(-BK34))</f>
        <v>0.62086149297904336</v>
      </c>
      <c r="BQ34" s="1">
        <f>1/(1+EXP(-BL34))</f>
        <v>0.47144306998433361</v>
      </c>
      <c r="BR34" s="1">
        <f>1/(1+EXP(-BM34))</f>
        <v>0.29338294902720402</v>
      </c>
      <c r="BT34" s="1">
        <f t="shared" si="25"/>
        <v>-0.36248842415174454</v>
      </c>
      <c r="BU34" s="1">
        <f t="shared" si="26"/>
        <v>-0.8913125260499779</v>
      </c>
      <c r="BV34" s="1">
        <f t="shared" si="30"/>
        <v>-1.0031376826496281</v>
      </c>
      <c r="BX34" s="1">
        <f t="shared" si="27"/>
        <v>0.41035732237511297</v>
      </c>
      <c r="BY34" s="1">
        <f t="shared" si="31"/>
        <v>0.29083904241336483</v>
      </c>
      <c r="BZ34" s="1">
        <f t="shared" si="28"/>
        <v>0.26832496294937036</v>
      </c>
      <c r="CA34" s="6">
        <f t="shared" si="29"/>
        <v>0</v>
      </c>
      <c r="CB34" s="6">
        <f>wine_dataset_test_split[[#This Row],[target]]</f>
        <v>0</v>
      </c>
      <c r="CC34" s="6">
        <v>0</v>
      </c>
    </row>
    <row r="35" spans="2:81" x14ac:dyDescent="0.2">
      <c r="B35" s="1">
        <v>13.05</v>
      </c>
      <c r="C35" s="1">
        <v>2.0499999999999998</v>
      </c>
      <c r="D35" s="1">
        <v>3.22</v>
      </c>
      <c r="E35" s="1">
        <v>25</v>
      </c>
      <c r="F35" s="1">
        <v>124</v>
      </c>
      <c r="G35" s="1">
        <v>2.63</v>
      </c>
      <c r="H35" s="1">
        <v>2.68</v>
      </c>
      <c r="I35" s="1">
        <v>0.47</v>
      </c>
      <c r="J35" s="1">
        <v>1.92</v>
      </c>
      <c r="K35" s="1">
        <v>3.58</v>
      </c>
      <c r="L35" s="1">
        <v>1.1299999999999999</v>
      </c>
      <c r="M35" s="1">
        <v>3.2</v>
      </c>
      <c r="N35" s="1">
        <v>830</v>
      </c>
      <c r="O35" s="1">
        <v>0</v>
      </c>
      <c r="R35" s="1">
        <f t="shared" si="4"/>
        <v>0.19473684210526354</v>
      </c>
      <c r="S35" s="1">
        <f t="shared" si="5"/>
        <v>-0.61264822134387353</v>
      </c>
      <c r="T35" s="1">
        <f t="shared" si="6"/>
        <v>-0.1657754010695186</v>
      </c>
      <c r="U35" s="1">
        <f t="shared" si="7"/>
        <v>-0.34020618556701021</v>
      </c>
      <c r="V35" s="1">
        <f t="shared" si="8"/>
        <v>-0.47826086956521741</v>
      </c>
      <c r="W35" s="1">
        <f t="shared" si="9"/>
        <v>-2.0689655172413834E-2</v>
      </c>
      <c r="X35" s="1">
        <f t="shared" si="10"/>
        <v>-0.21940928270042204</v>
      </c>
      <c r="Y35" s="1">
        <f t="shared" si="11"/>
        <v>-0.47169811320754718</v>
      </c>
      <c r="Z35" s="1">
        <f t="shared" si="12"/>
        <v>-0.40694006309148256</v>
      </c>
      <c r="AA35" s="1">
        <f t="shared" si="13"/>
        <v>-0.54436860068259385</v>
      </c>
      <c r="AB35" s="1">
        <f t="shared" si="14"/>
        <v>-0.12195121951219501</v>
      </c>
      <c r="AC35" s="1">
        <f t="shared" si="15"/>
        <v>9.8901098901098994E-2</v>
      </c>
      <c r="AD35" s="1">
        <f t="shared" si="16"/>
        <v>0.43651925820256765</v>
      </c>
      <c r="AE35" s="1">
        <v>0</v>
      </c>
      <c r="AG35" s="1">
        <v>-6.31578947368414E-2</v>
      </c>
      <c r="AH35" s="1">
        <v>-0.37944664031620501</v>
      </c>
      <c r="AI35" s="1">
        <v>0.11229946524064099</v>
      </c>
      <c r="AJ35" s="1">
        <v>0.38144329896907198</v>
      </c>
      <c r="AK35" s="1">
        <v>-0.39130434782608597</v>
      </c>
      <c r="AL35" s="1">
        <v>-0.88275862068965505</v>
      </c>
      <c r="AM35" s="1">
        <v>-0.683544303797468</v>
      </c>
      <c r="AN35" s="1">
        <v>-0.47169811320754701</v>
      </c>
      <c r="AO35" s="1">
        <v>-0.735015772870662</v>
      </c>
      <c r="AP35" s="1">
        <v>-0.24573378839590401</v>
      </c>
      <c r="AQ35" s="1">
        <v>-0.707317073170731</v>
      </c>
      <c r="AR35" s="1">
        <v>-0.93406593406593297</v>
      </c>
      <c r="AS35" s="1">
        <v>-0.59771754636233898</v>
      </c>
      <c r="AT35" s="1">
        <v>2</v>
      </c>
      <c r="AZ35" s="16"/>
      <c r="BB35" s="1">
        <f>$AG35*AW$8+$AH35*AW$9+$AI35*AW$10+$AJ35*AW$11+$AK35*AW$12+$AL35*AW$13+$AM35*AW$14+$AN35*AW$15+$AO35*AW$16+$AP35*AW$17+$AQ35*AW$18+$AR35*AW$19+$AS35*AW$20+AW$7</f>
        <v>0.72993112234545965</v>
      </c>
      <c r="BC35" s="1">
        <f>$AG35*AX$8+$AH35*AX$9+$AI35*AX$10+$AJ35*AX$11+$AK35*AX$12+$AL35*AX$13+$AM35*AX$14+$AN35*AX$15+$AO35*AX$16+$AP35*AX$17+$AQ35*AX$18+$AR35*AX$19+$AS35*AX$20+AX$7</f>
        <v>-0.14350976507835769</v>
      </c>
      <c r="BD35" s="1">
        <f t="shared" si="17"/>
        <v>3.1337966442210643</v>
      </c>
      <c r="BF35" s="1">
        <f t="shared" si="18"/>
        <v>0.67479015767315154</v>
      </c>
      <c r="BG35" s="1">
        <f t="shared" si="19"/>
        <v>0.46418400699654438</v>
      </c>
      <c r="BH35" s="1">
        <f t="shared" si="20"/>
        <v>0.9582654955868154</v>
      </c>
      <c r="BI35" s="17"/>
      <c r="BJ35" s="1">
        <f t="shared" si="21"/>
        <v>0.38361350575726338</v>
      </c>
      <c r="BK35" s="1">
        <f t="shared" si="22"/>
        <v>1.4657371898739324</v>
      </c>
      <c r="BL35" s="1">
        <f t="shared" si="23"/>
        <v>0.59616704633356987</v>
      </c>
      <c r="BM35" s="1">
        <f t="shared" si="24"/>
        <v>-0.11418832547969182</v>
      </c>
      <c r="BN35" s="17"/>
      <c r="BO35" s="1">
        <f>1/(1+EXP(-BJ35))</f>
        <v>0.59474434010329713</v>
      </c>
      <c r="BP35" s="1">
        <f>1/(1+EXP(-BK35))</f>
        <v>0.81240859506363228</v>
      </c>
      <c r="BQ35" s="1">
        <f>1/(1+EXP(-BL35))</f>
        <v>0.64477889805511568</v>
      </c>
      <c r="BR35" s="1">
        <f>1/(1+EXP(-BM35))</f>
        <v>0.47148389695835208</v>
      </c>
      <c r="BT35" s="1">
        <f t="shared" si="25"/>
        <v>-0.91698529523548289</v>
      </c>
      <c r="BU35" s="1">
        <f t="shared" si="26"/>
        <v>-0.90468517677080673</v>
      </c>
      <c r="BV35" s="1">
        <f t="shared" si="30"/>
        <v>-0.8261072339261194</v>
      </c>
      <c r="BX35" s="1">
        <f t="shared" si="27"/>
        <v>0.28557255918909075</v>
      </c>
      <c r="BY35" s="1">
        <f t="shared" si="31"/>
        <v>0.28808864450164368</v>
      </c>
      <c r="BZ35" s="1">
        <f t="shared" si="28"/>
        <v>0.30446880368437929</v>
      </c>
      <c r="CA35" s="6">
        <f t="shared" si="29"/>
        <v>2</v>
      </c>
      <c r="CB35" s="6">
        <f>wine_dataset_test_split[[#This Row],[target]]</f>
        <v>2</v>
      </c>
      <c r="CC35" s="6">
        <v>2</v>
      </c>
    </row>
    <row r="36" spans="2:81" x14ac:dyDescent="0.2">
      <c r="B36" s="1">
        <v>13.39</v>
      </c>
      <c r="C36" s="1">
        <v>1.77</v>
      </c>
      <c r="D36" s="1">
        <v>2.62</v>
      </c>
      <c r="E36" s="1">
        <v>16.100000000000001</v>
      </c>
      <c r="F36" s="1">
        <v>93</v>
      </c>
      <c r="G36" s="1">
        <v>2.85</v>
      </c>
      <c r="H36" s="1">
        <v>2.94</v>
      </c>
      <c r="I36" s="1">
        <v>0.34</v>
      </c>
      <c r="J36" s="1">
        <v>1.45</v>
      </c>
      <c r="K36" s="1">
        <v>4.8</v>
      </c>
      <c r="L36" s="1">
        <v>0.92</v>
      </c>
      <c r="M36" s="1">
        <v>3.22</v>
      </c>
      <c r="N36" s="1">
        <v>1195</v>
      </c>
      <c r="O36" s="1">
        <v>0</v>
      </c>
      <c r="R36" s="1">
        <f t="shared" si="4"/>
        <v>0.4947368421052627</v>
      </c>
      <c r="S36" s="1">
        <f t="shared" si="5"/>
        <v>-0.54150197628458496</v>
      </c>
      <c r="T36" s="1">
        <f t="shared" si="6"/>
        <v>0.54010695187165747</v>
      </c>
      <c r="U36" s="1">
        <f t="shared" si="7"/>
        <v>-9.2783505154639179E-2</v>
      </c>
      <c r="V36" s="1">
        <f t="shared" si="8"/>
        <v>-0.19565217391304346</v>
      </c>
      <c r="W36" s="1">
        <f t="shared" si="9"/>
        <v>0.35862068965517269</v>
      </c>
      <c r="X36" s="1">
        <f t="shared" si="10"/>
        <v>0.10970464135021096</v>
      </c>
      <c r="Y36" s="1">
        <f t="shared" si="11"/>
        <v>-9.4339622641509524E-2</v>
      </c>
      <c r="Z36" s="1">
        <f t="shared" si="12"/>
        <v>-0.1482649842271293</v>
      </c>
      <c r="AA36" s="1">
        <f t="shared" si="13"/>
        <v>-0.45051194539249151</v>
      </c>
      <c r="AB36" s="1">
        <f t="shared" si="14"/>
        <v>0.2520325203252034</v>
      </c>
      <c r="AC36" s="1">
        <f t="shared" si="15"/>
        <v>0.56043956043956045</v>
      </c>
      <c r="AD36" s="1">
        <f t="shared" si="16"/>
        <v>-9.1298145506419348E-2</v>
      </c>
      <c r="AE36" s="1">
        <v>0</v>
      </c>
      <c r="AG36" s="1">
        <v>-0.61578947368421</v>
      </c>
      <c r="AH36" s="1">
        <v>-0.233201581027667</v>
      </c>
      <c r="AI36" s="1">
        <v>0.66844919786096202</v>
      </c>
      <c r="AJ36" s="1">
        <v>-3.0927835051546199E-2</v>
      </c>
      <c r="AK36" s="1">
        <v>-0.282608695652173</v>
      </c>
      <c r="AL36" s="1">
        <v>-0.46896551724137903</v>
      </c>
      <c r="AM36" s="1">
        <v>-0.28691983122362802</v>
      </c>
      <c r="AN36" s="1">
        <v>0.77358490566037696</v>
      </c>
      <c r="AO36" s="1">
        <v>-0.59621451104100898</v>
      </c>
      <c r="AP36" s="1">
        <v>-0.56996587030716706</v>
      </c>
      <c r="AQ36" s="1">
        <v>0.219512195121951</v>
      </c>
      <c r="AR36" s="1">
        <v>-9.8901098901098702E-2</v>
      </c>
      <c r="AS36" s="1">
        <v>-0.530670470756062</v>
      </c>
      <c r="AT36" s="1">
        <v>1</v>
      </c>
      <c r="AZ36" s="17"/>
      <c r="BB36" s="1">
        <f>$AG36*AW$8+$AH36*AW$9+$AI36*AW$10+$AJ36*AW$11+$AK36*AW$12+$AL36*AW$13+$AM36*AW$14+$AN36*AW$15+$AO36*AW$16+$AP36*AW$17+$AQ36*AW$18+$AR36*AW$19+$AS36*AW$20+AW$7</f>
        <v>1.1066980262900159</v>
      </c>
      <c r="BC36" s="1">
        <f>$AG36*AX$8+$AH36*AX$9+$AI36*AX$10+$AJ36*AX$11+$AK36*AX$12+$AL36*AX$13+$AM36*AX$14+$AN36*AX$15+$AO36*AX$16+$AP36*AX$17+$AQ36*AX$18+$AR36*AX$19+$AS36*AX$20+AX$7</f>
        <v>0.14942480897433288</v>
      </c>
      <c r="BD36" s="1">
        <f t="shared" si="17"/>
        <v>1.1451143137485251</v>
      </c>
      <c r="BF36" s="1">
        <f t="shared" si="18"/>
        <v>0.75151300911217012</v>
      </c>
      <c r="BG36" s="1">
        <f t="shared" si="19"/>
        <v>0.53728685035147761</v>
      </c>
      <c r="BH36" s="1">
        <f t="shared" si="20"/>
        <v>0.75861739529336492</v>
      </c>
      <c r="BI36" s="17"/>
      <c r="BJ36" s="1">
        <f t="shared" si="21"/>
        <v>-4.7116101009665012E-2</v>
      </c>
      <c r="BK36" s="1">
        <f t="shared" si="22"/>
        <v>1.4749836827217702</v>
      </c>
      <c r="BL36" s="1">
        <f t="shared" si="23"/>
        <v>0.3967426363858505</v>
      </c>
      <c r="BM36" s="1">
        <f t="shared" si="24"/>
        <v>-0.42000563350566933</v>
      </c>
      <c r="BN36" s="17"/>
      <c r="BO36" s="1">
        <f>1/(1+EXP(-BJ36))</f>
        <v>0.48822315331195049</v>
      </c>
      <c r="BP36" s="1">
        <f>1/(1+EXP(-BK36))</f>
        <v>0.813813699701459</v>
      </c>
      <c r="BQ36" s="1">
        <f>1/(1+EXP(-BL36))</f>
        <v>0.59790479253171791</v>
      </c>
      <c r="BR36" s="1">
        <f>1/(1+EXP(-BM36))</f>
        <v>0.39651540208763203</v>
      </c>
      <c r="BT36" s="1">
        <f t="shared" si="25"/>
        <v>-0.73181808195393327</v>
      </c>
      <c r="BU36" s="1">
        <f t="shared" si="26"/>
        <v>-0.73867058827324117</v>
      </c>
      <c r="BV36" s="1">
        <f t="shared" si="30"/>
        <v>-0.96763507035377039</v>
      </c>
      <c r="BX36" s="1">
        <f t="shared" si="27"/>
        <v>0.32479588871225445</v>
      </c>
      <c r="BY36" s="1">
        <f t="shared" si="31"/>
        <v>0.32329491787969117</v>
      </c>
      <c r="BZ36" s="1">
        <f t="shared" si="28"/>
        <v>0.27535213372580786</v>
      </c>
      <c r="CA36" s="21">
        <f t="shared" si="29"/>
        <v>0</v>
      </c>
      <c r="CB36" s="6">
        <f>wine_dataset_test_split[[#This Row],[target]]</f>
        <v>1</v>
      </c>
      <c r="CC36" s="6">
        <v>1</v>
      </c>
    </row>
    <row r="37" spans="2:81" x14ac:dyDescent="0.2">
      <c r="B37" s="1">
        <v>13.3</v>
      </c>
      <c r="C37" s="1">
        <v>1.72</v>
      </c>
      <c r="D37" s="1">
        <v>2.14</v>
      </c>
      <c r="E37" s="1">
        <v>17</v>
      </c>
      <c r="F37" s="1">
        <v>94</v>
      </c>
      <c r="G37" s="1">
        <v>2.4</v>
      </c>
      <c r="H37" s="1">
        <v>2.19</v>
      </c>
      <c r="I37" s="1">
        <v>0.27</v>
      </c>
      <c r="J37" s="1">
        <v>1.35</v>
      </c>
      <c r="K37" s="1">
        <v>3.95</v>
      </c>
      <c r="L37" s="1">
        <v>1.02</v>
      </c>
      <c r="M37" s="1">
        <v>2.77</v>
      </c>
      <c r="N37" s="1">
        <v>1285</v>
      </c>
      <c r="O37" s="1">
        <v>0</v>
      </c>
      <c r="R37" s="1">
        <f t="shared" si="4"/>
        <v>0.57368421052631557</v>
      </c>
      <c r="S37" s="1">
        <f t="shared" si="5"/>
        <v>-0.62845849802371534</v>
      </c>
      <c r="T37" s="1">
        <f t="shared" si="6"/>
        <v>-9.090909090909105E-2</v>
      </c>
      <c r="U37" s="1">
        <f t="shared" si="7"/>
        <v>-0.44329896907216482</v>
      </c>
      <c r="V37" s="1">
        <f t="shared" si="8"/>
        <v>-0.43478260869565222</v>
      </c>
      <c r="W37" s="1">
        <f t="shared" si="9"/>
        <v>0.15172413793103456</v>
      </c>
      <c r="X37" s="1">
        <f t="shared" si="10"/>
        <v>-0.16033755274261607</v>
      </c>
      <c r="Y37" s="1">
        <f t="shared" si="11"/>
        <v>-0.50943396226415094</v>
      </c>
      <c r="Z37" s="1">
        <f t="shared" si="12"/>
        <v>-9.4637223974762819E-3</v>
      </c>
      <c r="AA37" s="1">
        <f t="shared" si="13"/>
        <v>-0.41638225255972705</v>
      </c>
      <c r="AB37" s="1">
        <f t="shared" si="14"/>
        <v>-8.9430894308943021E-2</v>
      </c>
      <c r="AC37" s="1">
        <f t="shared" si="15"/>
        <v>0.69963369963369959</v>
      </c>
      <c r="AD37" s="1">
        <f t="shared" si="16"/>
        <v>7.9885877318117027E-2</v>
      </c>
      <c r="AE37" s="1">
        <v>0</v>
      </c>
      <c r="AG37" s="1">
        <v>0.12631578947368399</v>
      </c>
      <c r="AH37" s="1">
        <v>0.75889328063241102</v>
      </c>
      <c r="AI37" s="1">
        <v>2.67379679144381E-2</v>
      </c>
      <c r="AJ37" s="1">
        <v>0.17525773195876301</v>
      </c>
      <c r="AK37" s="1">
        <v>-0.499999999999999</v>
      </c>
      <c r="AL37" s="1">
        <v>-0.47586206896551703</v>
      </c>
      <c r="AM37" s="1">
        <v>-0.87763713080168704</v>
      </c>
      <c r="AN37" s="1">
        <v>0.81132075471697995</v>
      </c>
      <c r="AO37" s="1">
        <v>-0.28075709779179803</v>
      </c>
      <c r="AP37" s="1">
        <v>0.12969283276450499</v>
      </c>
      <c r="AQ37" s="1">
        <v>-0.80487804878048697</v>
      </c>
      <c r="AR37" s="1">
        <v>-0.84615384615384603</v>
      </c>
      <c r="AS37" s="1">
        <v>-0.36233951497860101</v>
      </c>
      <c r="AT37" s="1">
        <v>2</v>
      </c>
      <c r="AZ37" s="17"/>
      <c r="BB37" s="1">
        <f>$AG37*AW$8+$AH37*AW$9+$AI37*AW$10+$AJ37*AW$11+$AK37*AW$12+$AL37*AW$13+$AM37*AW$14+$AN37*AW$15+$AO37*AW$16+$AP37*AW$17+$AQ37*AW$18+$AR37*AW$19+$AS37*AW$20+AW$7</f>
        <v>-0.18404055262642266</v>
      </c>
      <c r="BC37" s="1">
        <f>$AG37*AX$8+$AH37*AX$9+$AI37*AX$10+$AJ37*AX$11+$AK37*AX$12+$AL37*AX$13+$AM37*AX$14+$AN37*AX$15+$AO37*AX$16+$AP37*AX$17+$AQ37*AX$18+$AR37*AX$19+$AS37*AX$20+AX$7</f>
        <v>-1.4361843735778881</v>
      </c>
      <c r="BD37" s="1">
        <f t="shared" si="17"/>
        <v>2.2287654929331886</v>
      </c>
      <c r="BF37" s="1">
        <f t="shared" si="18"/>
        <v>0.45411929063537798</v>
      </c>
      <c r="BG37" s="1">
        <f t="shared" si="19"/>
        <v>0.19213691569473096</v>
      </c>
      <c r="BH37" s="1">
        <f t="shared" si="20"/>
        <v>0.90280308527453146</v>
      </c>
      <c r="BI37" s="17"/>
      <c r="BJ37" s="1">
        <f t="shared" si="21"/>
        <v>0.85443625079991481</v>
      </c>
      <c r="BK37" s="1">
        <f t="shared" si="22"/>
        <v>1.2597693292010455</v>
      </c>
      <c r="BL37" s="1">
        <f t="shared" si="23"/>
        <v>0.47622303578380698</v>
      </c>
      <c r="BM37" s="1">
        <f t="shared" si="24"/>
        <v>0.17257930394070831</v>
      </c>
      <c r="BN37" s="17"/>
      <c r="BO37" s="1">
        <f>1/(1+EXP(-BJ37))</f>
        <v>0.70149691851243123</v>
      </c>
      <c r="BP37" s="1">
        <f>1/(1+EXP(-BK37))</f>
        <v>0.77898639653057089</v>
      </c>
      <c r="BQ37" s="1">
        <f>1/(1+EXP(-BL37))</f>
        <v>0.61685560391133565</v>
      </c>
      <c r="BR37" s="1">
        <f>1/(1+EXP(-BM37))</f>
        <v>0.54303805988396836</v>
      </c>
      <c r="BT37" s="1">
        <f t="shared" si="25"/>
        <v>-0.98271689137253504</v>
      </c>
      <c r="BU37" s="1">
        <f t="shared" si="26"/>
        <v>-1.150023595037412</v>
      </c>
      <c r="BV37" s="1">
        <f t="shared" si="30"/>
        <v>-0.65587053515566529</v>
      </c>
      <c r="BX37" s="1">
        <f t="shared" si="27"/>
        <v>0.2723530257848441</v>
      </c>
      <c r="BY37" s="1">
        <f t="shared" si="31"/>
        <v>0.24048477334733309</v>
      </c>
      <c r="BZ37" s="1">
        <f t="shared" si="28"/>
        <v>0.34166784768960889</v>
      </c>
      <c r="CA37" s="6">
        <f t="shared" si="29"/>
        <v>2</v>
      </c>
      <c r="CB37" s="6">
        <f>wine_dataset_test_split[[#This Row],[target]]</f>
        <v>2</v>
      </c>
      <c r="CC37" s="6">
        <v>2</v>
      </c>
    </row>
    <row r="38" spans="2:81" x14ac:dyDescent="0.2">
      <c r="B38" s="1">
        <v>13.87</v>
      </c>
      <c r="C38" s="1">
        <v>1.9</v>
      </c>
      <c r="D38" s="1">
        <v>2.8</v>
      </c>
      <c r="E38" s="1">
        <v>19.399999999999999</v>
      </c>
      <c r="F38" s="1">
        <v>107</v>
      </c>
      <c r="G38" s="1">
        <v>2.95</v>
      </c>
      <c r="H38" s="1">
        <v>2.97</v>
      </c>
      <c r="I38" s="1">
        <v>0.37</v>
      </c>
      <c r="J38" s="1">
        <v>1.76</v>
      </c>
      <c r="K38" s="1">
        <v>4.5</v>
      </c>
      <c r="L38" s="1">
        <v>1.25</v>
      </c>
      <c r="M38" s="1">
        <v>3.4</v>
      </c>
      <c r="N38" s="1">
        <v>915</v>
      </c>
      <c r="O38" s="1">
        <v>0</v>
      </c>
      <c r="R38" s="1">
        <f t="shared" si="4"/>
        <v>0.42105263157894757</v>
      </c>
      <c r="S38" s="1">
        <f t="shared" si="5"/>
        <v>-0.69960474308300391</v>
      </c>
      <c r="T38" s="1">
        <f t="shared" si="6"/>
        <v>0.43315508021390392</v>
      </c>
      <c r="U38" s="1">
        <f t="shared" si="7"/>
        <v>0.22680412371134029</v>
      </c>
      <c r="V38" s="1">
        <f t="shared" si="8"/>
        <v>-0.32608695652173914</v>
      </c>
      <c r="W38" s="1">
        <f t="shared" si="9"/>
        <v>0.39310344827586219</v>
      </c>
      <c r="X38" s="1">
        <f t="shared" si="10"/>
        <v>0.22784810126582289</v>
      </c>
      <c r="Y38" s="1">
        <f t="shared" si="11"/>
        <v>-0.39622641509433976</v>
      </c>
      <c r="Z38" s="1">
        <f t="shared" si="12"/>
        <v>0.24290220820189279</v>
      </c>
      <c r="AA38" s="1">
        <f t="shared" si="13"/>
        <v>-0.24573378839590454</v>
      </c>
      <c r="AB38" s="1">
        <f t="shared" si="14"/>
        <v>0.15447154471544722</v>
      </c>
      <c r="AC38" s="1">
        <f t="shared" si="15"/>
        <v>5.4945054945054972E-2</v>
      </c>
      <c r="AD38" s="1">
        <f t="shared" si="16"/>
        <v>0.43651925820256765</v>
      </c>
      <c r="AE38" s="1">
        <v>0</v>
      </c>
      <c r="AG38" s="1">
        <v>0.61578947368421</v>
      </c>
      <c r="AH38" s="1">
        <v>-0.49407114624505899</v>
      </c>
      <c r="AI38" s="1">
        <v>0.11229946524064099</v>
      </c>
      <c r="AJ38" s="1">
        <v>-0.15463917525773099</v>
      </c>
      <c r="AK38" s="1">
        <v>-0.282608695652173</v>
      </c>
      <c r="AL38" s="1">
        <v>0.22068965517241301</v>
      </c>
      <c r="AM38" s="1">
        <v>8.8607594936708597E-2</v>
      </c>
      <c r="AN38" s="1">
        <v>-0.28301886792452802</v>
      </c>
      <c r="AO38" s="1">
        <v>0.24290220820189201</v>
      </c>
      <c r="AP38" s="1">
        <v>-0.16040955631399301</v>
      </c>
      <c r="AQ38" s="1">
        <v>-4.06504065040647E-2</v>
      </c>
      <c r="AR38" s="1">
        <v>8.4249084249084394E-2</v>
      </c>
      <c r="AS38" s="1">
        <v>0.115549215406562</v>
      </c>
      <c r="AT38" s="1">
        <v>0</v>
      </c>
      <c r="AZ38" s="17"/>
      <c r="BB38" s="1">
        <f>$AG38*AW$8+$AH38*AW$9+$AI38*AW$10+$AJ38*AW$11+$AK38*AW$12+$AL38*AW$13+$AM38*AW$14+$AN38*AW$15+$AO38*AW$16+$AP38*AW$17+$AQ38*AW$18+$AR38*AW$19+$AS38*AW$20+AW$7</f>
        <v>8.8175972547119286E-3</v>
      </c>
      <c r="BC38" s="1">
        <f>$AG38*AX$8+$AH38*AX$9+$AI38*AX$10+$AJ38*AX$11+$AK38*AX$12+$AL38*AX$13+$AM38*AX$14+$AN38*AX$15+$AO38*AX$16+$AP38*AX$17+$AQ38*AX$18+$AR38*AX$19+$AS38*AX$20+AX$7</f>
        <v>1.8276772714692227</v>
      </c>
      <c r="BD38" s="1">
        <f t="shared" si="17"/>
        <v>5.2111313668792847E-3</v>
      </c>
      <c r="BF38" s="1">
        <f t="shared" si="18"/>
        <v>0.50220438503111453</v>
      </c>
      <c r="BG38" s="1">
        <f t="shared" si="19"/>
        <v>0.86148479119350452</v>
      </c>
      <c r="BH38" s="1">
        <f t="shared" si="20"/>
        <v>0.50130277989354222</v>
      </c>
      <c r="BI38" s="17"/>
      <c r="BJ38" s="1">
        <f t="shared" si="21"/>
        <v>-0.31634655916753029</v>
      </c>
      <c r="BK38" s="1">
        <f t="shared" si="22"/>
        <v>0.85540230300263154</v>
      </c>
      <c r="BL38" s="1">
        <f t="shared" si="23"/>
        <v>-8.5893042344217241E-3</v>
      </c>
      <c r="BM38" s="1">
        <f t="shared" si="24"/>
        <v>-0.88523049151071986</v>
      </c>
      <c r="BN38" s="17"/>
      <c r="BO38" s="1">
        <f>1/(1+EXP(-BJ38))</f>
        <v>0.42156637649780604</v>
      </c>
      <c r="BP38" s="1">
        <f>1/(1+EXP(-BK38))</f>
        <v>0.70169916948453104</v>
      </c>
      <c r="BQ38" s="1">
        <f>1/(1+EXP(-BL38))</f>
        <v>0.49785268714308406</v>
      </c>
      <c r="BR38" s="1">
        <f>1/(1+EXP(-BM38))</f>
        <v>0.29209506628548004</v>
      </c>
      <c r="BT38" s="1">
        <f t="shared" si="25"/>
        <v>-0.4124906826454986</v>
      </c>
      <c r="BU38" s="1">
        <f t="shared" si="26"/>
        <v>-0.73230503769075872</v>
      </c>
      <c r="BV38" s="1">
        <f t="shared" si="30"/>
        <v>-1.0708403807131393</v>
      </c>
      <c r="BX38" s="1">
        <f t="shared" si="27"/>
        <v>0.39831505281380541</v>
      </c>
      <c r="BY38" s="1">
        <f t="shared" si="31"/>
        <v>0.32468910671777429</v>
      </c>
      <c r="BZ38" s="1">
        <f t="shared" si="28"/>
        <v>0.25524329985224209</v>
      </c>
      <c r="CA38" s="6">
        <f t="shared" si="29"/>
        <v>0</v>
      </c>
      <c r="CB38" s="6">
        <f>wine_dataset_test_split[[#This Row],[target]]</f>
        <v>0</v>
      </c>
      <c r="CC38" s="6">
        <v>0</v>
      </c>
    </row>
    <row r="39" spans="2:81" x14ac:dyDescent="0.2">
      <c r="B39" s="1">
        <v>14.02</v>
      </c>
      <c r="C39" s="1">
        <v>1.68</v>
      </c>
      <c r="D39" s="1">
        <v>2.21</v>
      </c>
      <c r="E39" s="1">
        <v>16</v>
      </c>
      <c r="F39" s="1">
        <v>96</v>
      </c>
      <c r="G39" s="1">
        <v>2.65</v>
      </c>
      <c r="H39" s="1">
        <v>2.33</v>
      </c>
      <c r="I39" s="1">
        <v>0.26</v>
      </c>
      <c r="J39" s="1">
        <v>1.98</v>
      </c>
      <c r="K39" s="1">
        <v>4.7</v>
      </c>
      <c r="L39" s="1">
        <v>1.04</v>
      </c>
      <c r="M39" s="1">
        <v>3.59</v>
      </c>
      <c r="N39" s="1">
        <v>1035</v>
      </c>
      <c r="O39" s="1">
        <v>0</v>
      </c>
      <c r="R39" s="1">
        <f t="shared" si="4"/>
        <v>0.34210526315789491</v>
      </c>
      <c r="S39" s="1">
        <f t="shared" si="5"/>
        <v>-0.63636363636363635</v>
      </c>
      <c r="T39" s="1">
        <f t="shared" si="6"/>
        <v>6.9518716577539941E-2</v>
      </c>
      <c r="U39" s="1">
        <f t="shared" si="7"/>
        <v>-0.12371134020618535</v>
      </c>
      <c r="V39" s="1">
        <f t="shared" si="8"/>
        <v>-0.21739130434782605</v>
      </c>
      <c r="W39" s="1">
        <f t="shared" si="9"/>
        <v>0.29655172413793096</v>
      </c>
      <c r="X39" s="1">
        <f t="shared" si="10"/>
        <v>0.20253164556962022</v>
      </c>
      <c r="Y39" s="1">
        <f t="shared" si="11"/>
        <v>-0.66037735849056611</v>
      </c>
      <c r="Z39" s="1">
        <f t="shared" si="12"/>
        <v>-2.8391167192428957E-2</v>
      </c>
      <c r="AA39" s="1">
        <f t="shared" si="13"/>
        <v>-4.095563139931746E-2</v>
      </c>
      <c r="AB39" s="1">
        <f t="shared" si="14"/>
        <v>-8.1300813008128303E-3</v>
      </c>
      <c r="AC39" s="1">
        <f t="shared" si="15"/>
        <v>0.17948717948717929</v>
      </c>
      <c r="AD39" s="1">
        <f t="shared" si="16"/>
        <v>0.76462196861626253</v>
      </c>
      <c r="AE39" s="1">
        <v>0</v>
      </c>
      <c r="AG39" s="1">
        <v>0.12631578947368399</v>
      </c>
      <c r="AH39" s="1">
        <v>-0.26877470355731198</v>
      </c>
      <c r="AI39" s="1">
        <v>8.0213903743315301E-2</v>
      </c>
      <c r="AJ39" s="1">
        <v>-3.0927835051546199E-2</v>
      </c>
      <c r="AK39" s="1">
        <v>8.6956521739130793E-2</v>
      </c>
      <c r="AL39" s="1">
        <v>-0.53793103448275803</v>
      </c>
      <c r="AM39" s="1">
        <v>-0.85654008438818496</v>
      </c>
      <c r="AN39" s="1">
        <v>0.50943396226415105</v>
      </c>
      <c r="AO39" s="1">
        <v>-0.337539432176656</v>
      </c>
      <c r="AP39" s="1">
        <v>0.36860068259385598</v>
      </c>
      <c r="AQ39" s="1">
        <v>-0.80487804878048697</v>
      </c>
      <c r="AR39" s="1">
        <v>-0.74358974358974295</v>
      </c>
      <c r="AS39" s="1">
        <v>-0.19828815977175401</v>
      </c>
      <c r="AT39" s="1">
        <v>2</v>
      </c>
      <c r="AZ39" s="17"/>
      <c r="BB39" s="1">
        <f>$AG39*AW$8+$AH39*AW$9+$AI39*AW$10+$AJ39*AW$11+$AK39*AW$12+$AL39*AW$13+$AM39*AW$14+$AN39*AW$15+$AO39*AW$16+$AP39*AW$17+$AQ39*AW$18+$AR39*AW$19+$AS39*AW$20+AW$7</f>
        <v>-0.44992825186173629</v>
      </c>
      <c r="BC39" s="1">
        <f>$AG39*AX$8+$AH39*AX$9+$AI39*AX$10+$AJ39*AX$11+$AK39*AX$12+$AL39*AX$13+$AM39*AX$14+$AN39*AX$15+$AO39*AX$16+$AP39*AX$17+$AQ39*AX$18+$AR39*AX$19+$AS39*AX$20+AX$7</f>
        <v>-0.70867402123204937</v>
      </c>
      <c r="BD39" s="1">
        <f t="shared" si="17"/>
        <v>2.0050051279129124</v>
      </c>
      <c r="BF39" s="1">
        <f t="shared" si="18"/>
        <v>0.3893778249489161</v>
      </c>
      <c r="BG39" s="1">
        <f t="shared" si="19"/>
        <v>0.32989189920059664</v>
      </c>
      <c r="BH39" s="1">
        <f t="shared" si="20"/>
        <v>0.881321583532788</v>
      </c>
      <c r="BI39" s="17"/>
      <c r="BJ39" s="1">
        <f t="shared" si="21"/>
        <v>0.7972664471388442</v>
      </c>
      <c r="BK39" s="1">
        <f t="shared" si="22"/>
        <v>1.0867693807762078</v>
      </c>
      <c r="BL39" s="1">
        <f t="shared" si="23"/>
        <v>0.41671564198844935</v>
      </c>
      <c r="BM39" s="1">
        <f t="shared" si="24"/>
        <v>4.87098059640656E-2</v>
      </c>
      <c r="BN39" s="17"/>
      <c r="BO39" s="1">
        <f>1/(1+EXP(-BJ39))</f>
        <v>0.68938944421619763</v>
      </c>
      <c r="BP39" s="1">
        <f>1/(1+EXP(-BK39))</f>
        <v>0.74777288692667265</v>
      </c>
      <c r="BQ39" s="1">
        <f>1/(1+EXP(-BL39))</f>
        <v>0.60269706534051837</v>
      </c>
      <c r="BR39" s="1">
        <f>1/(1+EXP(-BM39))</f>
        <v>0.51217504433116567</v>
      </c>
      <c r="BT39" s="1">
        <f t="shared" si="25"/>
        <v>-0.9172440800703916</v>
      </c>
      <c r="BU39" s="1">
        <f t="shared" si="26"/>
        <v>-1.1428692250677313</v>
      </c>
      <c r="BV39" s="1">
        <f t="shared" si="30"/>
        <v>-0.68840393058586535</v>
      </c>
      <c r="BX39" s="1">
        <f t="shared" si="27"/>
        <v>0.28551976461114587</v>
      </c>
      <c r="BY39" s="1">
        <f t="shared" si="31"/>
        <v>0.24179395737318768</v>
      </c>
      <c r="BZ39" s="1">
        <f t="shared" si="28"/>
        <v>0.33438822083787584</v>
      </c>
      <c r="CA39" s="6">
        <f t="shared" si="29"/>
        <v>2</v>
      </c>
      <c r="CB39" s="6">
        <f>wine_dataset_test_split[[#This Row],[target]]</f>
        <v>2</v>
      </c>
      <c r="CC39" s="6">
        <v>2</v>
      </c>
    </row>
    <row r="40" spans="2:81" x14ac:dyDescent="0.2">
      <c r="B40" s="1">
        <v>13.73</v>
      </c>
      <c r="C40" s="1">
        <v>1.5</v>
      </c>
      <c r="D40" s="1">
        <v>2.7</v>
      </c>
      <c r="E40" s="1">
        <v>22.5</v>
      </c>
      <c r="F40" s="1">
        <v>101</v>
      </c>
      <c r="G40" s="1">
        <v>3</v>
      </c>
      <c r="H40" s="1">
        <v>3.25</v>
      </c>
      <c r="I40" s="1">
        <v>0.28999999999999998</v>
      </c>
      <c r="J40" s="1">
        <v>2.38</v>
      </c>
      <c r="K40" s="1">
        <v>5.7</v>
      </c>
      <c r="L40" s="1">
        <v>1.19</v>
      </c>
      <c r="M40" s="1">
        <v>2.71</v>
      </c>
      <c r="N40" s="1">
        <v>1285</v>
      </c>
      <c r="O40" s="1">
        <v>0</v>
      </c>
      <c r="R40" s="1">
        <f t="shared" si="4"/>
        <v>0.39473684210526305</v>
      </c>
      <c r="S40" s="1">
        <f t="shared" si="5"/>
        <v>-0.56916996047430823</v>
      </c>
      <c r="T40" s="1">
        <f t="shared" si="6"/>
        <v>6.9518716577539941E-2</v>
      </c>
      <c r="U40" s="1">
        <f t="shared" si="7"/>
        <v>-0.31958762886597936</v>
      </c>
      <c r="V40" s="1">
        <f t="shared" si="8"/>
        <v>-0.26086956521739135</v>
      </c>
      <c r="W40" s="1">
        <f t="shared" si="9"/>
        <v>-6.8965517241379448E-3</v>
      </c>
      <c r="X40" s="1">
        <f t="shared" si="10"/>
        <v>-8.4388185654008518E-3</v>
      </c>
      <c r="Y40" s="1">
        <f t="shared" si="11"/>
        <v>9.4339622641509413E-2</v>
      </c>
      <c r="Z40" s="1">
        <f t="shared" si="12"/>
        <v>-1.577287066246047E-2</v>
      </c>
      <c r="AA40" s="1">
        <f t="shared" si="13"/>
        <v>-0.5631399317406145</v>
      </c>
      <c r="AB40" s="1">
        <f t="shared" si="14"/>
        <v>0.21951219512195119</v>
      </c>
      <c r="AC40" s="1">
        <f t="shared" si="15"/>
        <v>0.17216117216117222</v>
      </c>
      <c r="AD40" s="1">
        <f t="shared" si="16"/>
        <v>1.5691868758915817E-2</v>
      </c>
      <c r="AE40" s="1">
        <v>0</v>
      </c>
      <c r="AG40" s="1">
        <v>-0.68947368421052602</v>
      </c>
      <c r="AH40" s="1">
        <v>-0.50592885375494001</v>
      </c>
      <c r="AI40" s="1">
        <v>-1.6042780748663599E-2</v>
      </c>
      <c r="AJ40" s="1">
        <v>-0.23711340206185499</v>
      </c>
      <c r="AK40" s="1">
        <v>-0.39130434782608597</v>
      </c>
      <c r="AL40" s="1">
        <v>0.40689655172413802</v>
      </c>
      <c r="AM40" s="1">
        <v>-0.189873417721519</v>
      </c>
      <c r="AN40" s="1">
        <v>-0.84905660377358405</v>
      </c>
      <c r="AO40" s="1">
        <v>-0.40694006309148201</v>
      </c>
      <c r="AP40" s="1">
        <v>-0.66382252559726895</v>
      </c>
      <c r="AQ40" s="1">
        <v>0.105691056910569</v>
      </c>
      <c r="AR40" s="1">
        <v>0.238095238095238</v>
      </c>
      <c r="AS40" s="1">
        <v>-0.90442225392296705</v>
      </c>
      <c r="AT40" s="1">
        <v>1</v>
      </c>
      <c r="AZ40" s="17"/>
      <c r="BB40" s="1">
        <f>$AG40*AW$8+$AH40*AW$9+$AI40*AW$10+$AJ40*AW$11+$AK40*AW$12+$AL40*AW$13+$AM40*AW$14+$AN40*AW$15+$AO40*AW$16+$AP40*AW$17+$AQ40*AW$18+$AR40*AW$19+$AS40*AW$20+AW$7</f>
        <v>2.1081743028970457</v>
      </c>
      <c r="BC40" s="1">
        <f>$AG40*AX$8+$AH40*AX$9+$AI40*AX$10+$AJ40*AX$11+$AK40*AX$12+$AL40*AX$13+$AM40*AX$14+$AN40*AX$15+$AO40*AX$16+$AP40*AX$17+$AQ40*AX$18+$AR40*AX$19+$AS40*AX$20+AX$7</f>
        <v>1.4674206555434985</v>
      </c>
      <c r="BD40" s="1">
        <f t="shared" si="17"/>
        <v>0.66436276115614346</v>
      </c>
      <c r="BF40" s="1">
        <f t="shared" si="18"/>
        <v>0.89169514274088735</v>
      </c>
      <c r="BG40" s="1">
        <f t="shared" si="19"/>
        <v>0.81266502177299482</v>
      </c>
      <c r="BH40" s="1">
        <f t="shared" si="20"/>
        <v>0.66023974020610066</v>
      </c>
      <c r="BI40" s="17"/>
      <c r="BJ40" s="1">
        <f t="shared" si="21"/>
        <v>-0.60939247185009404</v>
      </c>
      <c r="BK40" s="1">
        <f t="shared" si="22"/>
        <v>1.5088447328108412</v>
      </c>
      <c r="BL40" s="1">
        <f t="shared" si="23"/>
        <v>0.31592707051163516</v>
      </c>
      <c r="BM40" s="1">
        <f t="shared" si="24"/>
        <v>-0.83568697014780624</v>
      </c>
      <c r="BN40" s="17"/>
      <c r="BO40" s="1">
        <f>1/(1+EXP(-BJ40))</f>
        <v>0.35219779575622623</v>
      </c>
      <c r="BP40" s="1">
        <f>1/(1+EXP(-BK40))</f>
        <v>0.81888993319990089</v>
      </c>
      <c r="BQ40" s="1">
        <f>1/(1+EXP(-BL40))</f>
        <v>0.57833132859829228</v>
      </c>
      <c r="BR40" s="1">
        <f>1/(1+EXP(-BM40))</f>
        <v>0.30244393474581749</v>
      </c>
      <c r="BT40" s="1">
        <f t="shared" si="25"/>
        <v>-0.54503257793447757</v>
      </c>
      <c r="BU40" s="1">
        <f t="shared" si="26"/>
        <v>-0.50008273574158535</v>
      </c>
      <c r="BV40" s="1">
        <f t="shared" si="30"/>
        <v>-1.1569623795337756</v>
      </c>
      <c r="BX40" s="1">
        <f t="shared" si="27"/>
        <v>0.36701765492123245</v>
      </c>
      <c r="BY40" s="1">
        <f t="shared" si="31"/>
        <v>0.3775212257887442</v>
      </c>
      <c r="BZ40" s="1">
        <f t="shared" si="28"/>
        <v>0.23921967470677385</v>
      </c>
      <c r="CA40" s="6">
        <f t="shared" si="29"/>
        <v>1</v>
      </c>
      <c r="CB40" s="6">
        <f>wine_dataset_test_split[[#This Row],[target]]</f>
        <v>1</v>
      </c>
      <c r="CC40" s="6">
        <v>1</v>
      </c>
    </row>
    <row r="41" spans="2:81" x14ac:dyDescent="0.2">
      <c r="B41" s="1">
        <v>13.58</v>
      </c>
      <c r="C41" s="1">
        <v>1.66</v>
      </c>
      <c r="D41" s="1">
        <v>2.36</v>
      </c>
      <c r="E41" s="1">
        <v>19.100000000000001</v>
      </c>
      <c r="F41" s="1">
        <v>106</v>
      </c>
      <c r="G41" s="1">
        <v>2.86</v>
      </c>
      <c r="H41" s="1">
        <v>3.19</v>
      </c>
      <c r="I41" s="1">
        <v>0.22</v>
      </c>
      <c r="J41" s="1">
        <v>1.95</v>
      </c>
      <c r="K41" s="1">
        <v>6.9</v>
      </c>
      <c r="L41" s="1">
        <v>1.0900000000000001</v>
      </c>
      <c r="M41" s="1">
        <v>2.88</v>
      </c>
      <c r="N41" s="1">
        <v>1515</v>
      </c>
      <c r="O41" s="1">
        <v>0</v>
      </c>
      <c r="R41" s="1">
        <f t="shared" si="4"/>
        <v>0.43684210526315792</v>
      </c>
      <c r="S41" s="1">
        <f t="shared" si="5"/>
        <v>-0.68774703557312256</v>
      </c>
      <c r="T41" s="1">
        <f t="shared" si="6"/>
        <v>0.43315508021390392</v>
      </c>
      <c r="U41" s="1">
        <f t="shared" si="7"/>
        <v>-8.247422680412364E-2</v>
      </c>
      <c r="V41" s="1">
        <f t="shared" si="8"/>
        <v>0.34782608695652173</v>
      </c>
      <c r="W41" s="1">
        <f t="shared" si="9"/>
        <v>0.35862068965517269</v>
      </c>
      <c r="X41" s="1">
        <f t="shared" si="10"/>
        <v>1.2658227848101333E-2</v>
      </c>
      <c r="Y41" s="1">
        <f t="shared" si="11"/>
        <v>0.39622641509433953</v>
      </c>
      <c r="Z41" s="1">
        <f t="shared" si="12"/>
        <v>-0.40694006309148256</v>
      </c>
      <c r="AA41" s="1">
        <f t="shared" si="13"/>
        <v>-0.29692832764505117</v>
      </c>
      <c r="AB41" s="1">
        <f t="shared" si="14"/>
        <v>0.2520325203252034</v>
      </c>
      <c r="AC41" s="1">
        <f t="shared" si="15"/>
        <v>0.26739926739926734</v>
      </c>
      <c r="AD41" s="1">
        <f t="shared" si="16"/>
        <v>0.36519258202567761</v>
      </c>
      <c r="AE41" s="1">
        <v>0</v>
      </c>
      <c r="AG41" s="1">
        <v>0.63157894736842102</v>
      </c>
      <c r="AH41" s="1">
        <v>0.32806324110671897</v>
      </c>
      <c r="AI41" s="1">
        <v>0.47593582887700497</v>
      </c>
      <c r="AJ41" s="1">
        <v>0.432989690721649</v>
      </c>
      <c r="AK41" s="1">
        <v>-0.434782608695651</v>
      </c>
      <c r="AL41" s="1">
        <v>-0.26206896551724101</v>
      </c>
      <c r="AM41" s="1">
        <v>-0.822784810126582</v>
      </c>
      <c r="AN41" s="1">
        <v>0.62264150943396201</v>
      </c>
      <c r="AO41" s="1">
        <v>-0.40694006309148201</v>
      </c>
      <c r="AP41" s="1">
        <v>0.35153583617747403</v>
      </c>
      <c r="AQ41" s="1">
        <v>-0.78861788617886097</v>
      </c>
      <c r="AR41" s="1">
        <v>-0.75824175824175799</v>
      </c>
      <c r="AS41" s="1">
        <v>-0.59771754636233898</v>
      </c>
      <c r="AT41" s="1">
        <v>2</v>
      </c>
      <c r="BB41" s="1">
        <f>$AG41*AW$8+$AH41*AW$9+$AI41*AW$10+$AJ41*AW$11+$AK41*AW$12+$AL41*AW$13+$AM41*AW$14+$AN41*AW$15+$AO41*AW$16+$AP41*AW$17+$AQ41*AW$18+$AR41*AW$19+$AS41*AW$20+AW$7</f>
        <v>-0.82288474928981592</v>
      </c>
      <c r="BC41" s="1">
        <f>$AG41*AX$8+$AH41*AX$9+$AI41*AX$10+$AJ41*AX$11+$AK41*AX$12+$AL41*AX$13+$AM41*AX$14+$AN41*AX$15+$AO41*AX$16+$AP41*AX$17+$AQ41*AX$18+$AR41*AX$19+$AS41*AX$20+AX$7</f>
        <v>-0.45381073153301138</v>
      </c>
      <c r="BD41" s="1">
        <f t="shared" si="17"/>
        <v>2.5727278880885796</v>
      </c>
      <c r="BF41" s="1">
        <f t="shared" si="18"/>
        <v>0.30515165103346414</v>
      </c>
      <c r="BG41" s="1">
        <f t="shared" si="19"/>
        <v>0.38845511341897276</v>
      </c>
      <c r="BH41" s="1">
        <f t="shared" si="20"/>
        <v>0.92908563474201344</v>
      </c>
      <c r="BI41" s="17"/>
      <c r="BJ41" s="1">
        <f t="shared" si="21"/>
        <v>0.92620610702053496</v>
      </c>
      <c r="BK41" s="1">
        <f t="shared" si="22"/>
        <v>0.94851245563877684</v>
      </c>
      <c r="BL41" s="1">
        <f t="shared" si="23"/>
        <v>0.43359703101837399</v>
      </c>
      <c r="BM41" s="1">
        <f t="shared" si="24"/>
        <v>7.8118980933961524E-2</v>
      </c>
      <c r="BN41" s="17"/>
      <c r="BO41" s="1">
        <f>1/(1+EXP(-BJ41))</f>
        <v>0.71630495336636801</v>
      </c>
      <c r="BP41" s="1">
        <f>1/(1+EXP(-BK41))</f>
        <v>0.72081592245981718</v>
      </c>
      <c r="BQ41" s="1">
        <f>1/(1+EXP(-BL41))</f>
        <v>0.60673227831424337</v>
      </c>
      <c r="BR41" s="1">
        <f>1/(1+EXP(-BM41))</f>
        <v>0.51951981947916459</v>
      </c>
      <c r="BT41" s="1">
        <f t="shared" si="25"/>
        <v>-0.92634421343111639</v>
      </c>
      <c r="BU41" s="1">
        <f t="shared" si="26"/>
        <v>-1.2049186205670994</v>
      </c>
      <c r="BV41" s="1">
        <f t="shared" si="30"/>
        <v>-0.65517981111153922</v>
      </c>
      <c r="BX41" s="1">
        <f t="shared" si="27"/>
        <v>0.28366698256904582</v>
      </c>
      <c r="BY41" s="1">
        <f t="shared" si="31"/>
        <v>0.23060137715029405</v>
      </c>
      <c r="BZ41" s="1">
        <f t="shared" si="28"/>
        <v>0.34182322987792568</v>
      </c>
      <c r="CA41" s="6">
        <f t="shared" si="29"/>
        <v>2</v>
      </c>
      <c r="CB41" s="6">
        <f>wine_dataset_test_split[[#This Row],[target]]</f>
        <v>2</v>
      </c>
      <c r="CC41" s="6">
        <v>2</v>
      </c>
    </row>
    <row r="42" spans="2:81" x14ac:dyDescent="0.2">
      <c r="B42" s="1">
        <v>13.68</v>
      </c>
      <c r="C42" s="1">
        <v>1.83</v>
      </c>
      <c r="D42" s="1">
        <v>2.36</v>
      </c>
      <c r="E42" s="1">
        <v>17.2</v>
      </c>
      <c r="F42" s="1">
        <v>104</v>
      </c>
      <c r="G42" s="1">
        <v>2.42</v>
      </c>
      <c r="H42" s="1">
        <v>2.69</v>
      </c>
      <c r="I42" s="1">
        <v>0.42</v>
      </c>
      <c r="J42" s="1">
        <v>1.97</v>
      </c>
      <c r="K42" s="1">
        <v>3.84</v>
      </c>
      <c r="L42" s="1">
        <v>1.23</v>
      </c>
      <c r="M42" s="1">
        <v>2.87</v>
      </c>
      <c r="N42" s="1">
        <v>990</v>
      </c>
      <c r="O42" s="1">
        <v>0</v>
      </c>
      <c r="R42" s="1">
        <f t="shared" si="4"/>
        <v>0.3052631578947369</v>
      </c>
      <c r="S42" s="1">
        <f t="shared" si="5"/>
        <v>-0.5810276679841897</v>
      </c>
      <c r="T42" s="1">
        <f t="shared" si="6"/>
        <v>0.3796791443850267</v>
      </c>
      <c r="U42" s="1">
        <f t="shared" si="7"/>
        <v>-0.13402061855670089</v>
      </c>
      <c r="V42" s="1">
        <f t="shared" si="8"/>
        <v>-0.13043478260869568</v>
      </c>
      <c r="W42" s="1">
        <f t="shared" si="9"/>
        <v>-5.5172413793103336E-2</v>
      </c>
      <c r="X42" s="1">
        <f t="shared" si="10"/>
        <v>-7.5949367088607667E-2</v>
      </c>
      <c r="Y42" s="1">
        <f t="shared" si="11"/>
        <v>-0.39622641509433976</v>
      </c>
      <c r="Z42" s="1">
        <f t="shared" si="12"/>
        <v>-0.28706624605678221</v>
      </c>
      <c r="AA42" s="1">
        <f t="shared" si="13"/>
        <v>-0.50170648464163825</v>
      </c>
      <c r="AB42" s="1">
        <f t="shared" si="14"/>
        <v>8.1300813008131634E-3</v>
      </c>
      <c r="AC42" s="1">
        <f t="shared" si="15"/>
        <v>0.17216117216117222</v>
      </c>
      <c r="AD42" s="1">
        <f t="shared" si="16"/>
        <v>0.16547788873038516</v>
      </c>
      <c r="AE42" s="1">
        <v>0</v>
      </c>
      <c r="AG42" s="1">
        <v>0.44736842105263103</v>
      </c>
      <c r="AH42" s="1">
        <v>-0.201581027667984</v>
      </c>
      <c r="AI42" s="1">
        <v>5.34759358288727E-3</v>
      </c>
      <c r="AJ42" s="1">
        <v>0.17525773195876301</v>
      </c>
      <c r="AK42" s="1">
        <v>-0.56521739130434701</v>
      </c>
      <c r="AL42" s="1">
        <v>-0.74482758620689604</v>
      </c>
      <c r="AM42" s="1">
        <v>-0.85654008438818496</v>
      </c>
      <c r="AN42" s="1">
        <v>5.6603773584905398E-2</v>
      </c>
      <c r="AO42" s="1">
        <v>-0.60883280757097702</v>
      </c>
      <c r="AP42" s="1">
        <v>0.416382252559726</v>
      </c>
      <c r="AQ42" s="1">
        <v>-0.64227642276422703</v>
      </c>
      <c r="AR42" s="1">
        <v>-0.69963369963369904</v>
      </c>
      <c r="AS42" s="1">
        <v>-0.51925820256776001</v>
      </c>
      <c r="AT42" s="1">
        <v>2</v>
      </c>
      <c r="BB42" s="1">
        <f>$AG42*AW$8+$AH42*AW$9+$AI42*AW$10+$AJ42*AW$11+$AK42*AW$12+$AL42*AW$13+$AM42*AW$14+$AN42*AW$15+$AO42*AW$16+$AP42*AW$17+$AQ42*AW$18+$AR42*AW$19+$AS42*AW$20+AW$7</f>
        <v>-8.2859692043177557E-2</v>
      </c>
      <c r="BC42" s="1">
        <f>$AG42*AX$8+$AH42*AX$9+$AI42*AX$10+$AJ42*AX$11+$AK42*AX$12+$AL42*AX$13+$AM42*AX$14+$AN42*AX$15+$AO42*AX$16+$AP42*AX$17+$AQ42*AX$18+$AR42*AX$19+$AS42*AX$20+AX$7</f>
        <v>0.13798277174707282</v>
      </c>
      <c r="BD42" s="1">
        <f t="shared" si="17"/>
        <v>2.7638183209244107</v>
      </c>
      <c r="BF42" s="1">
        <f t="shared" si="18"/>
        <v>0.47929692077753583</v>
      </c>
      <c r="BG42" s="1">
        <f t="shared" si="19"/>
        <v>0.53444106594345209</v>
      </c>
      <c r="BH42" s="1">
        <f t="shared" si="20"/>
        <v>0.9406890291076605</v>
      </c>
      <c r="BI42" s="17"/>
      <c r="BJ42" s="1">
        <f t="shared" si="21"/>
        <v>0.57220847186960411</v>
      </c>
      <c r="BK42" s="1">
        <f t="shared" si="22"/>
        <v>1.1352811933791873</v>
      </c>
      <c r="BL42" s="1">
        <f t="shared" si="23"/>
        <v>0.49841040880753329</v>
      </c>
      <c r="BM42" s="1">
        <f t="shared" si="24"/>
        <v>-0.11742567904354984</v>
      </c>
      <c r="BN42" s="17"/>
      <c r="BO42" s="1">
        <f>1/(1+EXP(-BJ42))</f>
        <v>0.63927261218086551</v>
      </c>
      <c r="BP42" s="1">
        <f>1/(1+EXP(-BK42))</f>
        <v>0.75681220729271659</v>
      </c>
      <c r="BQ42" s="1">
        <f>1/(1+EXP(-BL42))</f>
        <v>0.62208569871801467</v>
      </c>
      <c r="BR42" s="1">
        <f>1/(1+EXP(-BM42))</f>
        <v>0.47067726625011946</v>
      </c>
      <c r="BT42" s="1">
        <f t="shared" si="25"/>
        <v>-0.88614667355434773</v>
      </c>
      <c r="BU42" s="1">
        <f t="shared" si="26"/>
        <v>-1.0208111833628171</v>
      </c>
      <c r="BV42" s="1">
        <f t="shared" si="30"/>
        <v>-0.77862157040722801</v>
      </c>
      <c r="BX42" s="1">
        <f t="shared" si="27"/>
        <v>0.29190565834145138</v>
      </c>
      <c r="BY42" s="1">
        <f t="shared" si="31"/>
        <v>0.26486942196827834</v>
      </c>
      <c r="BZ42" s="1">
        <f t="shared" si="28"/>
        <v>0.31461704520846034</v>
      </c>
      <c r="CA42" s="6">
        <f t="shared" si="29"/>
        <v>2</v>
      </c>
      <c r="CB42" s="6">
        <f>wine_dataset_test_split[[#This Row],[target]]</f>
        <v>2</v>
      </c>
      <c r="CC42" s="6">
        <v>2</v>
      </c>
    </row>
    <row r="43" spans="2:81" x14ac:dyDescent="0.2">
      <c r="B43" s="1">
        <v>13.76</v>
      </c>
      <c r="C43" s="1">
        <v>1.53</v>
      </c>
      <c r="D43" s="1">
        <v>2.7</v>
      </c>
      <c r="E43" s="1">
        <v>19.5</v>
      </c>
      <c r="F43" s="1">
        <v>132</v>
      </c>
      <c r="G43" s="1">
        <v>2.95</v>
      </c>
      <c r="H43" s="1">
        <v>2.74</v>
      </c>
      <c r="I43" s="1">
        <v>0.5</v>
      </c>
      <c r="J43" s="1">
        <v>1.35</v>
      </c>
      <c r="K43" s="1">
        <v>5.4</v>
      </c>
      <c r="L43" s="1">
        <v>1.25</v>
      </c>
      <c r="M43" s="1">
        <v>3</v>
      </c>
      <c r="N43" s="1">
        <v>1235</v>
      </c>
      <c r="O43" s="1">
        <v>0</v>
      </c>
      <c r="R43" s="1">
        <f t="shared" si="4"/>
        <v>0.28947368421052655</v>
      </c>
      <c r="S43" s="1">
        <f t="shared" si="5"/>
        <v>-0.57707509881422925</v>
      </c>
      <c r="T43" s="1">
        <f t="shared" si="6"/>
        <v>0.12299465240641716</v>
      </c>
      <c r="U43" s="1">
        <f t="shared" si="7"/>
        <v>2.0618556701031077E-2</v>
      </c>
      <c r="V43" s="1">
        <f t="shared" si="8"/>
        <v>-0.34782608695652173</v>
      </c>
      <c r="W43" s="1">
        <f t="shared" si="9"/>
        <v>0.18620689655172429</v>
      </c>
      <c r="X43" s="1">
        <f t="shared" si="10"/>
        <v>0.11392405063291133</v>
      </c>
      <c r="Y43" s="1">
        <f t="shared" si="11"/>
        <v>-0.50943396226415094</v>
      </c>
      <c r="Z43" s="1">
        <f t="shared" si="12"/>
        <v>-8.5173501577286981E-2</v>
      </c>
      <c r="AA43" s="1">
        <f t="shared" si="13"/>
        <v>-0.34812286689419814</v>
      </c>
      <c r="AB43" s="1">
        <f t="shared" si="14"/>
        <v>-8.9430894308943021E-2</v>
      </c>
      <c r="AC43" s="1">
        <f t="shared" si="15"/>
        <v>0.61172161172161177</v>
      </c>
      <c r="AD43" s="1">
        <f t="shared" si="16"/>
        <v>-8.4165477888730411E-2</v>
      </c>
      <c r="AE43" s="1">
        <v>0</v>
      </c>
      <c r="AG43" s="1">
        <v>0.41052631578947402</v>
      </c>
      <c r="AH43" s="1">
        <v>0.94071146245059301</v>
      </c>
      <c r="AI43" s="1">
        <v>0.16577540106951799</v>
      </c>
      <c r="AJ43" s="1">
        <v>2.0618556701030799E-2</v>
      </c>
      <c r="AK43" s="1">
        <v>-0.45652173913043398</v>
      </c>
      <c r="AL43" s="1">
        <v>-0.51724137931034397</v>
      </c>
      <c r="AM43" s="1">
        <v>-0.886075949367088</v>
      </c>
      <c r="AN43" s="1">
        <v>0.47169811320754701</v>
      </c>
      <c r="AO43" s="1">
        <v>-0.58990536277602501</v>
      </c>
      <c r="AP43" s="1">
        <v>9.5563139931740704E-2</v>
      </c>
      <c r="AQ43" s="1">
        <v>-0.73983739837398299</v>
      </c>
      <c r="AR43" s="1">
        <v>-0.65567765567765501</v>
      </c>
      <c r="AS43" s="1">
        <v>-0.34094151212553397</v>
      </c>
      <c r="AT43" s="1">
        <v>2</v>
      </c>
      <c r="BB43" s="1">
        <f>$AG43*AW$8+$AH43*AW$9+$AI43*AW$10+$AJ43*AW$11+$AK43*AW$12+$AL43*AW$13+$AM43*AW$14+$AN43*AW$15+$AO43*AW$16+$AP43*AW$17+$AQ43*AW$18+$AR43*AW$19+$AS43*AW$20+AW$7</f>
        <v>-0.98397674928358758</v>
      </c>
      <c r="BC43" s="1">
        <f>$AG43*AX$8+$AH43*AX$9+$AI43*AX$10+$AJ43*AX$11+$AK43*AX$12+$AL43*AX$13+$AM43*AX$14+$AN43*AX$15+$AO43*AX$16+$AP43*AX$17+$AQ43*AX$18+$AR43*AX$19+$AS43*AX$20+AX$7</f>
        <v>-0.50941219709276764</v>
      </c>
      <c r="BD43" s="1">
        <f t="shared" si="17"/>
        <v>2.1217801292365435</v>
      </c>
      <c r="BF43" s="1">
        <f t="shared" si="18"/>
        <v>0.27210342272600174</v>
      </c>
      <c r="BG43" s="1">
        <f t="shared" si="19"/>
        <v>0.37533133036027244</v>
      </c>
      <c r="BH43" s="1">
        <f t="shared" si="20"/>
        <v>0.89300213868220735</v>
      </c>
      <c r="BI43" s="17"/>
      <c r="BJ43" s="1">
        <f t="shared" si="21"/>
        <v>0.93654662120113485</v>
      </c>
      <c r="BK43" s="1">
        <f t="shared" si="22"/>
        <v>0.89429649969583547</v>
      </c>
      <c r="BL43" s="1">
        <f t="shared" si="23"/>
        <v>0.38245529706653703</v>
      </c>
      <c r="BM43" s="1">
        <f t="shared" si="24"/>
        <v>6.6655351490542192E-2</v>
      </c>
      <c r="BN43" s="17"/>
      <c r="BO43" s="1">
        <f>1/(1+EXP(-BJ43))</f>
        <v>0.71840156348343964</v>
      </c>
      <c r="BP43" s="1">
        <f>1/(1+EXP(-BK43))</f>
        <v>0.70977602286785157</v>
      </c>
      <c r="BQ43" s="1">
        <f>1/(1+EXP(-BL43))</f>
        <v>0.59446515397440192</v>
      </c>
      <c r="BR43" s="1">
        <f>1/(1+EXP(-BM43))</f>
        <v>0.51665767091562542</v>
      </c>
      <c r="BT43" s="1">
        <f t="shared" si="25"/>
        <v>-0.90301201084775573</v>
      </c>
      <c r="BU43" s="1">
        <f t="shared" si="26"/>
        <v>-1.2233212255356012</v>
      </c>
      <c r="BV43" s="1">
        <f t="shared" si="30"/>
        <v>-0.65038226347477812</v>
      </c>
      <c r="BX43" s="1">
        <f t="shared" si="27"/>
        <v>0.28843192171967263</v>
      </c>
      <c r="BY43" s="1">
        <f t="shared" si="31"/>
        <v>0.22735250475158036</v>
      </c>
      <c r="BZ43" s="1">
        <f t="shared" si="28"/>
        <v>0.34290340029701938</v>
      </c>
      <c r="CA43" s="6">
        <f t="shared" si="29"/>
        <v>2</v>
      </c>
      <c r="CB43" s="6">
        <f>wine_dataset_test_split[[#This Row],[target]]</f>
        <v>2</v>
      </c>
      <c r="CC43" s="6">
        <v>2</v>
      </c>
    </row>
    <row r="44" spans="2:81" x14ac:dyDescent="0.2">
      <c r="B44" s="1">
        <v>13.51</v>
      </c>
      <c r="C44" s="1">
        <v>1.8</v>
      </c>
      <c r="D44" s="1">
        <v>2.65</v>
      </c>
      <c r="E44" s="1">
        <v>19</v>
      </c>
      <c r="F44" s="1">
        <v>110</v>
      </c>
      <c r="G44" s="1">
        <v>2.35</v>
      </c>
      <c r="H44" s="1">
        <v>2.5299999999999998</v>
      </c>
      <c r="I44" s="1">
        <v>0.28999999999999998</v>
      </c>
      <c r="J44" s="1">
        <v>1.54</v>
      </c>
      <c r="K44" s="1">
        <v>4.2</v>
      </c>
      <c r="L44" s="1">
        <v>1.1000000000000001</v>
      </c>
      <c r="M44" s="1">
        <v>2.87</v>
      </c>
      <c r="N44" s="1">
        <v>1095</v>
      </c>
      <c r="O44" s="1">
        <v>0</v>
      </c>
      <c r="R44" s="1">
        <f t="shared" si="4"/>
        <v>0.18421052631578916</v>
      </c>
      <c r="S44" s="1">
        <f t="shared" si="5"/>
        <v>-0.64426877470355737</v>
      </c>
      <c r="T44" s="1">
        <f t="shared" si="6"/>
        <v>0.58288770053475925</v>
      </c>
      <c r="U44" s="1">
        <f t="shared" si="7"/>
        <v>-0.49484536082474218</v>
      </c>
      <c r="V44" s="1">
        <f t="shared" si="8"/>
        <v>-0.13043478260869568</v>
      </c>
      <c r="W44" s="1">
        <f t="shared" si="9"/>
        <v>0.11724137931034484</v>
      </c>
      <c r="X44" s="1">
        <f t="shared" si="10"/>
        <v>-1.2658227848101222E-2</v>
      </c>
      <c r="Y44" s="1">
        <f t="shared" si="11"/>
        <v>-0.20754716981132071</v>
      </c>
      <c r="Z44" s="1">
        <f t="shared" si="12"/>
        <v>-0.40063091482649826</v>
      </c>
      <c r="AA44" s="1">
        <f t="shared" si="13"/>
        <v>-0.43344709897610934</v>
      </c>
      <c r="AB44" s="1">
        <f t="shared" si="14"/>
        <v>-8.1300813008128303E-3</v>
      </c>
      <c r="AC44" s="1">
        <f t="shared" si="15"/>
        <v>0.10622710622710607</v>
      </c>
      <c r="AD44" s="1">
        <f t="shared" si="16"/>
        <v>-0.14122681883024246</v>
      </c>
      <c r="AE44" s="1">
        <v>0</v>
      </c>
    </row>
    <row r="45" spans="2:81" x14ac:dyDescent="0.2">
      <c r="B45" s="1">
        <v>13.48</v>
      </c>
      <c r="C45" s="1">
        <v>1.81</v>
      </c>
      <c r="D45" s="1">
        <v>2.41</v>
      </c>
      <c r="E45" s="1">
        <v>20.5</v>
      </c>
      <c r="F45" s="1">
        <v>100</v>
      </c>
      <c r="G45" s="1">
        <v>2.7</v>
      </c>
      <c r="H45" s="1">
        <v>2.98</v>
      </c>
      <c r="I45" s="1">
        <v>0.26</v>
      </c>
      <c r="J45" s="1">
        <v>1.86</v>
      </c>
      <c r="K45" s="1">
        <v>5.0999999999999996</v>
      </c>
      <c r="L45" s="1">
        <v>1.04</v>
      </c>
      <c r="M45" s="1">
        <v>3.47</v>
      </c>
      <c r="N45" s="1">
        <v>920</v>
      </c>
      <c r="O45" s="1">
        <v>0</v>
      </c>
      <c r="R45" s="1">
        <f t="shared" si="4"/>
        <v>6.3157894736842524E-2</v>
      </c>
      <c r="S45" s="1">
        <f t="shared" si="5"/>
        <v>-0.64031620553359692</v>
      </c>
      <c r="T45" s="1">
        <f t="shared" si="6"/>
        <v>0.27272727272727249</v>
      </c>
      <c r="U45" s="1">
        <f t="shared" si="7"/>
        <v>-0.2371134020618556</v>
      </c>
      <c r="V45" s="1">
        <f t="shared" si="8"/>
        <v>-0.39130434782608692</v>
      </c>
      <c r="W45" s="1">
        <f t="shared" si="9"/>
        <v>1.3793103448276112E-2</v>
      </c>
      <c r="X45" s="1">
        <f t="shared" si="10"/>
        <v>-0.1181434599156117</v>
      </c>
      <c r="Y45" s="1">
        <f t="shared" si="11"/>
        <v>-0.39622641509433976</v>
      </c>
      <c r="Z45" s="1">
        <f t="shared" si="12"/>
        <v>-0.35015772870662454</v>
      </c>
      <c r="AA45" s="1">
        <f t="shared" si="13"/>
        <v>-0.49317406143344722</v>
      </c>
      <c r="AB45" s="1">
        <f t="shared" si="14"/>
        <v>4.0650406504065151E-2</v>
      </c>
      <c r="AC45" s="1">
        <f t="shared" si="15"/>
        <v>-9.1575091575091694E-2</v>
      </c>
      <c r="AD45" s="1">
        <f t="shared" si="16"/>
        <v>0.17974322396576325</v>
      </c>
      <c r="AE45" s="1">
        <v>0</v>
      </c>
    </row>
    <row r="46" spans="2:81" x14ac:dyDescent="0.2">
      <c r="B46" s="1">
        <v>13.28</v>
      </c>
      <c r="C46" s="1">
        <v>1.64</v>
      </c>
      <c r="D46" s="1">
        <v>2.84</v>
      </c>
      <c r="E46" s="1">
        <v>15.5</v>
      </c>
      <c r="F46" s="1">
        <v>110</v>
      </c>
      <c r="G46" s="1">
        <v>2.6</v>
      </c>
      <c r="H46" s="1">
        <v>2.68</v>
      </c>
      <c r="I46" s="1">
        <v>0.34</v>
      </c>
      <c r="J46" s="1">
        <v>1.36</v>
      </c>
      <c r="K46" s="1">
        <v>4.5999999999999996</v>
      </c>
      <c r="L46" s="1">
        <v>1.0900000000000001</v>
      </c>
      <c r="M46" s="1">
        <v>2.78</v>
      </c>
      <c r="N46" s="1">
        <v>880</v>
      </c>
      <c r="O46" s="1">
        <v>0</v>
      </c>
      <c r="R46" s="1">
        <f t="shared" si="4"/>
        <v>7.3684210526316019E-2</v>
      </c>
      <c r="S46" s="1">
        <f t="shared" si="5"/>
        <v>-0.69960474308300391</v>
      </c>
      <c r="T46" s="1">
        <f t="shared" si="6"/>
        <v>-0.20855614973262027</v>
      </c>
      <c r="U46" s="1">
        <f t="shared" si="7"/>
        <v>-0.49484536082474218</v>
      </c>
      <c r="V46" s="1">
        <f t="shared" si="8"/>
        <v>-0.39130434782608692</v>
      </c>
      <c r="W46" s="1">
        <f t="shared" si="9"/>
        <v>-2.0689655172413834E-2</v>
      </c>
      <c r="X46" s="1">
        <f t="shared" si="10"/>
        <v>-2.9535864978902926E-2</v>
      </c>
      <c r="Y46" s="1">
        <f t="shared" si="11"/>
        <v>-0.4339622641509433</v>
      </c>
      <c r="Z46" s="1">
        <f t="shared" si="12"/>
        <v>-0.39432176656151408</v>
      </c>
      <c r="AA46" s="1">
        <f t="shared" si="13"/>
        <v>-0.58703071672354956</v>
      </c>
      <c r="AB46" s="1">
        <f t="shared" si="14"/>
        <v>0.13821138211382111</v>
      </c>
      <c r="AC46" s="1">
        <f t="shared" si="15"/>
        <v>4.029304029304015E-2</v>
      </c>
      <c r="AD46" s="1">
        <f t="shared" si="16"/>
        <v>5.8487874465049883E-2</v>
      </c>
      <c r="AE46" s="1">
        <v>0</v>
      </c>
    </row>
    <row r="47" spans="2:81" x14ac:dyDescent="0.2">
      <c r="B47" s="1">
        <v>13.05</v>
      </c>
      <c r="C47" s="1">
        <v>1.65</v>
      </c>
      <c r="D47" s="1">
        <v>2.5499999999999998</v>
      </c>
      <c r="E47" s="1">
        <v>18</v>
      </c>
      <c r="F47" s="1">
        <v>98</v>
      </c>
      <c r="G47" s="1">
        <v>2.4500000000000002</v>
      </c>
      <c r="H47" s="1">
        <v>2.4300000000000002</v>
      </c>
      <c r="I47" s="1">
        <v>0.28999999999999998</v>
      </c>
      <c r="J47" s="1">
        <v>1.44</v>
      </c>
      <c r="K47" s="1">
        <v>4.25</v>
      </c>
      <c r="L47" s="1">
        <v>1.1200000000000001</v>
      </c>
      <c r="M47" s="1">
        <v>2.5099999999999998</v>
      </c>
      <c r="N47" s="1">
        <v>1105</v>
      </c>
      <c r="O47" s="1">
        <v>0</v>
      </c>
      <c r="R47" s="1">
        <f t="shared" si="4"/>
        <v>0.67894736842105297</v>
      </c>
      <c r="S47" s="1">
        <f t="shared" si="5"/>
        <v>0.28458498023715428</v>
      </c>
      <c r="T47" s="1">
        <f t="shared" si="6"/>
        <v>0.22994652406417093</v>
      </c>
      <c r="U47" s="1">
        <f t="shared" si="7"/>
        <v>-0.731958762886598</v>
      </c>
      <c r="V47" s="1">
        <f t="shared" si="8"/>
        <v>0.26086956521739135</v>
      </c>
      <c r="W47" s="1">
        <f t="shared" si="9"/>
        <v>0.39310344827586219</v>
      </c>
      <c r="X47" s="1">
        <f t="shared" si="10"/>
        <v>0.139240506329114</v>
      </c>
      <c r="Y47" s="1">
        <f t="shared" si="11"/>
        <v>-0.73584905660377364</v>
      </c>
      <c r="Z47" s="1">
        <f t="shared" si="12"/>
        <v>5.3627760252366041E-2</v>
      </c>
      <c r="AA47" s="1">
        <f t="shared" si="13"/>
        <v>-0.34812286689419814</v>
      </c>
      <c r="AB47" s="1">
        <f t="shared" si="14"/>
        <v>-0.33333333333333326</v>
      </c>
      <c r="AC47" s="1">
        <f t="shared" si="15"/>
        <v>0.65567765567765557</v>
      </c>
      <c r="AD47" s="1">
        <f t="shared" si="16"/>
        <v>-0.31241084165477884</v>
      </c>
      <c r="AE47" s="1">
        <v>0</v>
      </c>
    </row>
    <row r="48" spans="2:81" x14ac:dyDescent="0.2">
      <c r="B48" s="1">
        <v>13.07</v>
      </c>
      <c r="C48" s="1">
        <v>1.5</v>
      </c>
      <c r="D48" s="1">
        <v>2.1</v>
      </c>
      <c r="E48" s="1">
        <v>15.5</v>
      </c>
      <c r="F48" s="1">
        <v>98</v>
      </c>
      <c r="G48" s="1">
        <v>2.4</v>
      </c>
      <c r="H48" s="1">
        <v>2.64</v>
      </c>
      <c r="I48" s="1">
        <v>0.28000000000000003</v>
      </c>
      <c r="J48" s="1">
        <v>1.37</v>
      </c>
      <c r="K48" s="1">
        <v>3.7</v>
      </c>
      <c r="L48" s="1">
        <v>1.18</v>
      </c>
      <c r="M48" s="1">
        <v>2.69</v>
      </c>
      <c r="N48" s="1">
        <v>1020</v>
      </c>
      <c r="O48" s="1">
        <v>0</v>
      </c>
      <c r="R48" s="1">
        <f t="shared" si="4"/>
        <v>0.33157894736842142</v>
      </c>
      <c r="S48" s="1">
        <f t="shared" si="5"/>
        <v>-0.61660079051383399</v>
      </c>
      <c r="T48" s="1">
        <f t="shared" si="6"/>
        <v>1.6042780748663166E-2</v>
      </c>
      <c r="U48" s="1">
        <f t="shared" si="7"/>
        <v>-0.42268041237113396</v>
      </c>
      <c r="V48" s="1">
        <f t="shared" si="8"/>
        <v>2.1739130434782705E-2</v>
      </c>
      <c r="W48" s="1">
        <f t="shared" si="9"/>
        <v>0.49655172413793114</v>
      </c>
      <c r="X48" s="1">
        <f t="shared" si="10"/>
        <v>0.24472573839662459</v>
      </c>
      <c r="Y48" s="1">
        <f t="shared" si="11"/>
        <v>-0.20754716981132071</v>
      </c>
      <c r="Z48" s="1">
        <f t="shared" si="12"/>
        <v>0.21766561514195581</v>
      </c>
      <c r="AA48" s="1">
        <f t="shared" si="13"/>
        <v>-0.17235494880546087</v>
      </c>
      <c r="AB48" s="1">
        <f t="shared" si="14"/>
        <v>-0.2357723577235773</v>
      </c>
      <c r="AC48" s="1">
        <f t="shared" si="15"/>
        <v>0.54578754578754562</v>
      </c>
      <c r="AD48" s="1">
        <f t="shared" si="16"/>
        <v>-0.26248216833095572</v>
      </c>
      <c r="AE48" s="1">
        <v>0</v>
      </c>
      <c r="AI48" t="s">
        <v>22</v>
      </c>
      <c r="AJ48" t="s">
        <v>23</v>
      </c>
      <c r="AK48" t="s">
        <v>24</v>
      </c>
    </row>
    <row r="49" spans="2:37" x14ac:dyDescent="0.2">
      <c r="B49" s="1">
        <v>14.22</v>
      </c>
      <c r="C49" s="1">
        <v>3.99</v>
      </c>
      <c r="D49" s="1">
        <v>2.5099999999999998</v>
      </c>
      <c r="E49" s="1">
        <v>13.2</v>
      </c>
      <c r="F49" s="1">
        <v>128</v>
      </c>
      <c r="G49" s="1">
        <v>3</v>
      </c>
      <c r="H49" s="1">
        <v>3.04</v>
      </c>
      <c r="I49" s="1">
        <v>0.2</v>
      </c>
      <c r="J49" s="1">
        <v>2.08</v>
      </c>
      <c r="K49" s="1">
        <v>5.0999999999999996</v>
      </c>
      <c r="L49" s="1">
        <v>0.89</v>
      </c>
      <c r="M49" s="1">
        <v>3.53</v>
      </c>
      <c r="N49" s="1">
        <v>760</v>
      </c>
      <c r="O49" s="1">
        <v>0</v>
      </c>
      <c r="R49" s="1">
        <f t="shared" si="4"/>
        <v>0.25263157894736854</v>
      </c>
      <c r="S49" s="1">
        <f t="shared" si="5"/>
        <v>0.22529644268774707</v>
      </c>
      <c r="T49" s="1">
        <f t="shared" si="6"/>
        <v>-0.18716577540106949</v>
      </c>
      <c r="U49" s="1">
        <f t="shared" si="7"/>
        <v>-0.15463917525773174</v>
      </c>
      <c r="V49" s="1">
        <f t="shared" si="8"/>
        <v>-0.56521739130434789</v>
      </c>
      <c r="W49" s="1">
        <f t="shared" si="9"/>
        <v>1.3793103448276112E-2</v>
      </c>
      <c r="X49" s="1">
        <f t="shared" si="10"/>
        <v>-1.2658227848101222E-2</v>
      </c>
      <c r="Y49" s="1">
        <f t="shared" si="11"/>
        <v>-0.47169811320754718</v>
      </c>
      <c r="Z49" s="1">
        <f t="shared" si="12"/>
        <v>-0.32492113564668768</v>
      </c>
      <c r="AA49" s="1">
        <f t="shared" si="13"/>
        <v>-0.48805460750853247</v>
      </c>
      <c r="AB49" s="1">
        <f t="shared" si="14"/>
        <v>-0.30081300813008116</v>
      </c>
      <c r="AC49" s="1">
        <f t="shared" si="15"/>
        <v>0.26739926739926734</v>
      </c>
      <c r="AD49" s="1">
        <f t="shared" si="16"/>
        <v>7.9885877318117027E-2</v>
      </c>
      <c r="AE49" s="1">
        <v>0</v>
      </c>
      <c r="AH49" t="s">
        <v>21</v>
      </c>
      <c r="AI49">
        <v>0.41493527639232952</v>
      </c>
      <c r="AJ49">
        <v>6.1605782722404023E-2</v>
      </c>
      <c r="AK49">
        <v>9.5062546813738671E-2</v>
      </c>
    </row>
    <row r="50" spans="2:37" x14ac:dyDescent="0.2">
      <c r="B50" s="1">
        <v>13.56</v>
      </c>
      <c r="C50" s="1">
        <v>1.71</v>
      </c>
      <c r="D50" s="1">
        <v>2.31</v>
      </c>
      <c r="E50" s="1">
        <v>16.2</v>
      </c>
      <c r="F50" s="1">
        <v>117</v>
      </c>
      <c r="G50" s="1">
        <v>3.15</v>
      </c>
      <c r="H50" s="1">
        <v>3.29</v>
      </c>
      <c r="I50" s="1">
        <v>0.34</v>
      </c>
      <c r="J50" s="1">
        <v>2.34</v>
      </c>
      <c r="K50" s="1">
        <v>6.13</v>
      </c>
      <c r="L50" s="1">
        <v>0.95</v>
      </c>
      <c r="M50" s="1">
        <v>3.38</v>
      </c>
      <c r="N50" s="1">
        <v>795</v>
      </c>
      <c r="O50" s="1">
        <v>0</v>
      </c>
      <c r="R50" s="1">
        <f t="shared" si="4"/>
        <v>0.50000000000000044</v>
      </c>
      <c r="S50" s="1">
        <f t="shared" si="5"/>
        <v>-0.54545454545454541</v>
      </c>
      <c r="T50" s="1">
        <f t="shared" si="6"/>
        <v>0.31550802139037426</v>
      </c>
      <c r="U50" s="1">
        <f t="shared" si="7"/>
        <v>-0.54639175257731953</v>
      </c>
      <c r="V50" s="1">
        <f t="shared" si="8"/>
        <v>-0.32608695652173914</v>
      </c>
      <c r="W50" s="1">
        <f t="shared" si="9"/>
        <v>0.56551724137931036</v>
      </c>
      <c r="X50" s="1">
        <f t="shared" si="10"/>
        <v>0.35864978902953593</v>
      </c>
      <c r="Y50" s="1">
        <f t="shared" si="11"/>
        <v>-0.84905660377358494</v>
      </c>
      <c r="Z50" s="1">
        <f t="shared" si="12"/>
        <v>-0.18611987381703465</v>
      </c>
      <c r="AA50" s="1">
        <f t="shared" si="13"/>
        <v>-0.29180887372013664</v>
      </c>
      <c r="AB50" s="1">
        <f t="shared" si="14"/>
        <v>-0.34959349593495925</v>
      </c>
      <c r="AC50" s="1">
        <f t="shared" si="15"/>
        <v>0.67765567765567769</v>
      </c>
      <c r="AD50" s="1">
        <f t="shared" si="16"/>
        <v>0.16547788873038516</v>
      </c>
      <c r="AE50" s="1">
        <v>0</v>
      </c>
      <c r="AH50" t="s">
        <v>0</v>
      </c>
      <c r="AI50">
        <v>-0.80823539606967476</v>
      </c>
      <c r="AJ50">
        <v>1.056677628986844</v>
      </c>
      <c r="AK50">
        <v>-2.9598005028803109E-2</v>
      </c>
    </row>
    <row r="51" spans="2:37" x14ac:dyDescent="0.2">
      <c r="B51" s="1">
        <v>13.41</v>
      </c>
      <c r="C51" s="1">
        <v>3.84</v>
      </c>
      <c r="D51" s="1">
        <v>2.12</v>
      </c>
      <c r="E51" s="1">
        <v>18.8</v>
      </c>
      <c r="F51" s="1">
        <v>90</v>
      </c>
      <c r="G51" s="1">
        <v>2.4500000000000002</v>
      </c>
      <c r="H51" s="1">
        <v>2.68</v>
      </c>
      <c r="I51" s="1">
        <v>0.27</v>
      </c>
      <c r="J51" s="1">
        <v>1.48</v>
      </c>
      <c r="K51" s="1">
        <v>4.28</v>
      </c>
      <c r="L51" s="1">
        <v>0.91</v>
      </c>
      <c r="M51" s="1">
        <v>3</v>
      </c>
      <c r="N51" s="1">
        <v>1035</v>
      </c>
      <c r="O51" s="1">
        <v>0</v>
      </c>
      <c r="R51" s="1">
        <f t="shared" si="4"/>
        <v>0.16315789473684239</v>
      </c>
      <c r="S51" s="1">
        <f t="shared" si="5"/>
        <v>0.28063241106719383</v>
      </c>
      <c r="T51" s="1">
        <f t="shared" si="6"/>
        <v>-5.3475935828877219E-3</v>
      </c>
      <c r="U51" s="1">
        <f t="shared" si="7"/>
        <v>-0.28865979381443285</v>
      </c>
      <c r="V51" s="1">
        <f t="shared" si="8"/>
        <v>-0.28260869565217395</v>
      </c>
      <c r="W51" s="1">
        <f t="shared" si="9"/>
        <v>0.14482758620689662</v>
      </c>
      <c r="X51" s="1">
        <f t="shared" si="10"/>
        <v>-3.3755274261603407E-2</v>
      </c>
      <c r="Y51" s="1">
        <f t="shared" si="11"/>
        <v>-0.28301886792452835</v>
      </c>
      <c r="Z51" s="1">
        <f t="shared" si="12"/>
        <v>-0.21135646687697163</v>
      </c>
      <c r="AA51" s="1">
        <f t="shared" si="13"/>
        <v>-0.47440273037542668</v>
      </c>
      <c r="AB51" s="1">
        <f t="shared" si="14"/>
        <v>-0.44715447154471544</v>
      </c>
      <c r="AC51" s="1">
        <f t="shared" si="15"/>
        <v>0.26739926739926734</v>
      </c>
      <c r="AD51" s="1">
        <f t="shared" si="16"/>
        <v>-0.42653352353780316</v>
      </c>
      <c r="AE51" s="1">
        <v>0</v>
      </c>
      <c r="AH51" t="s">
        <v>1</v>
      </c>
      <c r="AI51">
        <v>-0.49169691437728152</v>
      </c>
      <c r="AJ51">
        <v>-0.70349960369233211</v>
      </c>
      <c r="AK51">
        <v>-0.40949072556167038</v>
      </c>
    </row>
    <row r="52" spans="2:37" x14ac:dyDescent="0.2">
      <c r="B52" s="1">
        <v>13.88</v>
      </c>
      <c r="C52" s="1">
        <v>1.89</v>
      </c>
      <c r="D52" s="1">
        <v>2.59</v>
      </c>
      <c r="E52" s="1">
        <v>15</v>
      </c>
      <c r="F52" s="1">
        <v>101</v>
      </c>
      <c r="G52" s="1">
        <v>3.25</v>
      </c>
      <c r="H52" s="1">
        <v>3.56</v>
      </c>
      <c r="I52" s="1">
        <v>0.17</v>
      </c>
      <c r="J52" s="1">
        <v>1.7</v>
      </c>
      <c r="K52" s="1">
        <v>5.43</v>
      </c>
      <c r="L52" s="1">
        <v>0.88</v>
      </c>
      <c r="M52" s="1">
        <v>3.56</v>
      </c>
      <c r="N52" s="1">
        <v>1095</v>
      </c>
      <c r="O52" s="1">
        <v>0</v>
      </c>
      <c r="R52" s="1">
        <f t="shared" si="4"/>
        <v>6.3157894736842524E-2</v>
      </c>
      <c r="S52" s="1">
        <f t="shared" si="5"/>
        <v>-0.59288537549407105</v>
      </c>
      <c r="T52" s="1">
        <f t="shared" si="6"/>
        <v>-0.20855614973262027</v>
      </c>
      <c r="U52" s="1">
        <f t="shared" si="7"/>
        <v>-0.34020618556701021</v>
      </c>
      <c r="V52" s="1">
        <f t="shared" si="8"/>
        <v>-0.19565217391304346</v>
      </c>
      <c r="W52" s="1">
        <f t="shared" si="9"/>
        <v>0.39310344827586219</v>
      </c>
      <c r="X52" s="1">
        <f t="shared" si="10"/>
        <v>0.1223628691983123</v>
      </c>
      <c r="Y52" s="1">
        <f t="shared" si="11"/>
        <v>-0.4339622641509433</v>
      </c>
      <c r="Z52" s="1">
        <f t="shared" si="12"/>
        <v>2.2082018927444658E-2</v>
      </c>
      <c r="AA52" s="1">
        <f t="shared" si="13"/>
        <v>-0.35836177474402742</v>
      </c>
      <c r="AB52" s="1">
        <f t="shared" si="14"/>
        <v>-0.34959349593495925</v>
      </c>
      <c r="AC52" s="1">
        <f t="shared" si="15"/>
        <v>0.52380952380952395</v>
      </c>
      <c r="AD52" s="1">
        <f t="shared" si="16"/>
        <v>-0.13409415121255353</v>
      </c>
      <c r="AE52" s="1">
        <v>0</v>
      </c>
      <c r="AH52" t="s">
        <v>2</v>
      </c>
      <c r="AI52">
        <v>-1.2789691006198569</v>
      </c>
      <c r="AJ52">
        <v>0.73879633719579219</v>
      </c>
      <c r="AK52">
        <v>-2.5504671038214188E-2</v>
      </c>
    </row>
    <row r="53" spans="2:37" x14ac:dyDescent="0.2">
      <c r="B53" s="1">
        <v>13.24</v>
      </c>
      <c r="C53" s="1">
        <v>3.98</v>
      </c>
      <c r="D53" s="1">
        <v>2.29</v>
      </c>
      <c r="E53" s="1">
        <v>17.5</v>
      </c>
      <c r="F53" s="1">
        <v>103</v>
      </c>
      <c r="G53" s="1">
        <v>2.64</v>
      </c>
      <c r="H53" s="1">
        <v>2.63</v>
      </c>
      <c r="I53" s="1">
        <v>0.32</v>
      </c>
      <c r="J53" s="1">
        <v>1.66</v>
      </c>
      <c r="K53" s="1">
        <v>4.3600000000000003</v>
      </c>
      <c r="L53" s="1">
        <v>0.82</v>
      </c>
      <c r="M53" s="1">
        <v>3</v>
      </c>
      <c r="N53" s="1">
        <v>680</v>
      </c>
      <c r="O53" s="1">
        <v>0</v>
      </c>
      <c r="R53" s="1">
        <f t="shared" si="4"/>
        <v>0.67368421052631633</v>
      </c>
      <c r="S53" s="1">
        <f t="shared" si="5"/>
        <v>0.30434782608695654</v>
      </c>
      <c r="T53" s="1">
        <f t="shared" si="6"/>
        <v>0.15508021390374327</v>
      </c>
      <c r="U53" s="1">
        <f t="shared" si="7"/>
        <v>-0.14432989690721654</v>
      </c>
      <c r="V53" s="1">
        <f t="shared" si="8"/>
        <v>-0.10869565217391308</v>
      </c>
      <c r="W53" s="1">
        <f t="shared" si="9"/>
        <v>0.28965517241379324</v>
      </c>
      <c r="X53" s="1">
        <f t="shared" si="10"/>
        <v>-2.5316455696202556E-2</v>
      </c>
      <c r="Y53" s="1">
        <f t="shared" si="11"/>
        <v>-0.35849056603773599</v>
      </c>
      <c r="Z53" s="1">
        <f t="shared" si="12"/>
        <v>-0.47003154574132489</v>
      </c>
      <c r="AA53" s="1">
        <f t="shared" si="13"/>
        <v>-0.32423208191126285</v>
      </c>
      <c r="AB53" s="1">
        <f t="shared" si="14"/>
        <v>-0.36585365853658536</v>
      </c>
      <c r="AC53" s="1">
        <f t="shared" si="15"/>
        <v>0.50915750915750912</v>
      </c>
      <c r="AD53" s="1">
        <f t="shared" si="16"/>
        <v>0.14407988587731801</v>
      </c>
      <c r="AE53" s="1">
        <v>0</v>
      </c>
      <c r="AH53" t="s">
        <v>3</v>
      </c>
      <c r="AI53">
        <v>0.76474501649110316</v>
      </c>
      <c r="AJ53">
        <v>-1.2362758568317951</v>
      </c>
      <c r="AK53">
        <v>0.95440992492251442</v>
      </c>
    </row>
    <row r="54" spans="2:37" x14ac:dyDescent="0.2">
      <c r="B54" s="1">
        <v>13.05</v>
      </c>
      <c r="C54" s="1">
        <v>1.77</v>
      </c>
      <c r="D54" s="1">
        <v>2.1</v>
      </c>
      <c r="E54" s="1">
        <v>17</v>
      </c>
      <c r="F54" s="1">
        <v>107</v>
      </c>
      <c r="G54" s="1">
        <v>3</v>
      </c>
      <c r="H54" s="1">
        <v>3</v>
      </c>
      <c r="I54" s="1">
        <v>0.28000000000000003</v>
      </c>
      <c r="J54" s="1">
        <v>2.0299999999999998</v>
      </c>
      <c r="K54" s="1">
        <v>5.04</v>
      </c>
      <c r="L54" s="1">
        <v>0.88</v>
      </c>
      <c r="M54" s="1">
        <v>3.35</v>
      </c>
      <c r="N54" s="1">
        <v>885</v>
      </c>
      <c r="O54" s="1">
        <v>0</v>
      </c>
      <c r="R54" s="1">
        <f t="shared" si="4"/>
        <v>0.76315789473684248</v>
      </c>
      <c r="S54" s="1">
        <f t="shared" si="5"/>
        <v>0.12648221343873511</v>
      </c>
      <c r="T54" s="1">
        <f t="shared" si="6"/>
        <v>-1.6042780748663388E-2</v>
      </c>
      <c r="U54" s="1">
        <f t="shared" si="7"/>
        <v>-0.44329896907216482</v>
      </c>
      <c r="V54" s="1">
        <f t="shared" si="8"/>
        <v>-0.30434782608695654</v>
      </c>
      <c r="W54" s="1">
        <f t="shared" si="9"/>
        <v>0.56551724137931036</v>
      </c>
      <c r="X54" s="1">
        <f t="shared" si="10"/>
        <v>0.19409282700421948</v>
      </c>
      <c r="Y54" s="1">
        <f t="shared" si="11"/>
        <v>-0.47169811320754718</v>
      </c>
      <c r="Z54" s="1">
        <f t="shared" si="12"/>
        <v>0.12302839116719255</v>
      </c>
      <c r="AA54" s="1">
        <f t="shared" si="13"/>
        <v>-0.38225255972696248</v>
      </c>
      <c r="AB54" s="1">
        <f t="shared" si="14"/>
        <v>-8.9430894308943021E-2</v>
      </c>
      <c r="AC54" s="1">
        <f t="shared" si="15"/>
        <v>0.58974358974358965</v>
      </c>
      <c r="AD54" s="1">
        <f t="shared" si="16"/>
        <v>0.12268188302425109</v>
      </c>
      <c r="AE54" s="1">
        <v>0</v>
      </c>
      <c r="AH54" t="s">
        <v>4</v>
      </c>
      <c r="AI54">
        <v>-0.2884653847757121</v>
      </c>
      <c r="AJ54">
        <v>-0.80086856661202555</v>
      </c>
      <c r="AK54">
        <v>-0.7116175238635547</v>
      </c>
    </row>
    <row r="55" spans="2:37" x14ac:dyDescent="0.2">
      <c r="B55" s="1">
        <v>14.21</v>
      </c>
      <c r="C55" s="1">
        <v>4.04</v>
      </c>
      <c r="D55" s="1">
        <v>2.44</v>
      </c>
      <c r="E55" s="1">
        <v>18.899999999999999</v>
      </c>
      <c r="F55" s="1">
        <v>111</v>
      </c>
      <c r="G55" s="1">
        <v>2.85</v>
      </c>
      <c r="H55" s="1">
        <v>2.65</v>
      </c>
      <c r="I55" s="1">
        <v>0.3</v>
      </c>
      <c r="J55" s="1">
        <v>1.25</v>
      </c>
      <c r="K55" s="1">
        <v>5.24</v>
      </c>
      <c r="L55" s="1">
        <v>0.87</v>
      </c>
      <c r="M55" s="1">
        <v>3.33</v>
      </c>
      <c r="N55" s="1">
        <v>1080</v>
      </c>
      <c r="O55" s="1">
        <v>0</v>
      </c>
      <c r="R55" s="1">
        <f t="shared" si="4"/>
        <v>0.51052631578947394</v>
      </c>
      <c r="S55" s="1">
        <f t="shared" si="5"/>
        <v>-0.62845849802371534</v>
      </c>
      <c r="T55" s="1">
        <f t="shared" si="6"/>
        <v>-0.18716577540106949</v>
      </c>
      <c r="U55" s="1">
        <f t="shared" si="7"/>
        <v>-0.44329896907216482</v>
      </c>
      <c r="V55" s="1">
        <f t="shared" si="8"/>
        <v>-0.32608695652173914</v>
      </c>
      <c r="W55" s="1">
        <f t="shared" si="9"/>
        <v>0.46206896551724141</v>
      </c>
      <c r="X55" s="1">
        <f t="shared" si="10"/>
        <v>0.28691983122362874</v>
      </c>
      <c r="Y55" s="1">
        <f t="shared" si="11"/>
        <v>-0.69811320754716988</v>
      </c>
      <c r="Z55" s="1">
        <f t="shared" si="12"/>
        <v>9.1482649842271391E-2</v>
      </c>
      <c r="AA55" s="1">
        <f t="shared" si="13"/>
        <v>-0.17747440273037562</v>
      </c>
      <c r="AB55" s="1">
        <f t="shared" si="14"/>
        <v>-0.30081300813008116</v>
      </c>
      <c r="AC55" s="1">
        <f t="shared" si="15"/>
        <v>0.50915750915750912</v>
      </c>
      <c r="AD55" s="1">
        <f t="shared" si="16"/>
        <v>8.5592011412267688E-3</v>
      </c>
      <c r="AE55" s="1">
        <v>0</v>
      </c>
      <c r="AH55" t="s">
        <v>5</v>
      </c>
      <c r="AI55">
        <v>-0.16530103315866559</v>
      </c>
      <c r="AJ55">
        <v>6.3896571455304155E-2</v>
      </c>
      <c r="AK55">
        <v>-0.34694279462790528</v>
      </c>
    </row>
    <row r="56" spans="2:37" x14ac:dyDescent="0.2">
      <c r="B56" s="1">
        <v>14.38</v>
      </c>
      <c r="C56" s="1">
        <v>3.59</v>
      </c>
      <c r="D56" s="1">
        <v>2.2799999999999998</v>
      </c>
      <c r="E56" s="1">
        <v>16</v>
      </c>
      <c r="F56" s="1">
        <v>102</v>
      </c>
      <c r="G56" s="1">
        <v>3.25</v>
      </c>
      <c r="H56" s="1">
        <v>3.17</v>
      </c>
      <c r="I56" s="1">
        <v>0.27</v>
      </c>
      <c r="J56" s="1">
        <v>2.19</v>
      </c>
      <c r="K56" s="1">
        <v>4.9000000000000004</v>
      </c>
      <c r="L56" s="1">
        <v>1.04</v>
      </c>
      <c r="M56" s="1">
        <v>3.44</v>
      </c>
      <c r="N56" s="1">
        <v>1065</v>
      </c>
      <c r="O56" s="1">
        <v>0</v>
      </c>
      <c r="R56" s="1">
        <f t="shared" si="4"/>
        <v>0.61578947368421044</v>
      </c>
      <c r="S56" s="1">
        <f t="shared" si="5"/>
        <v>-0.49407114624505921</v>
      </c>
      <c r="T56" s="1">
        <f t="shared" si="6"/>
        <v>0.11229946524064149</v>
      </c>
      <c r="U56" s="1">
        <f t="shared" si="7"/>
        <v>-0.15463917525773174</v>
      </c>
      <c r="V56" s="1">
        <f t="shared" si="8"/>
        <v>-0.28260869565217395</v>
      </c>
      <c r="W56" s="1">
        <f t="shared" si="9"/>
        <v>0.22068965517241379</v>
      </c>
      <c r="X56" s="1">
        <f t="shared" si="10"/>
        <v>8.8607594936708889E-2</v>
      </c>
      <c r="Y56" s="1">
        <f t="shared" si="11"/>
        <v>-0.28301886792452835</v>
      </c>
      <c r="Z56" s="1">
        <f t="shared" si="12"/>
        <v>0.24290220820189279</v>
      </c>
      <c r="AA56" s="1">
        <f t="shared" si="13"/>
        <v>-0.16040955631399323</v>
      </c>
      <c r="AB56" s="1">
        <f t="shared" si="14"/>
        <v>-4.0650406504064929E-2</v>
      </c>
      <c r="AC56" s="1">
        <f t="shared" si="15"/>
        <v>8.4249084249084172E-2</v>
      </c>
      <c r="AD56" s="1">
        <f t="shared" si="16"/>
        <v>0.11554921540656204</v>
      </c>
      <c r="AE56" s="1">
        <v>0</v>
      </c>
      <c r="AH56" t="s">
        <v>6</v>
      </c>
      <c r="AI56">
        <v>2.0464955150695779E-2</v>
      </c>
      <c r="AJ56">
        <v>0.24877970185852161</v>
      </c>
      <c r="AK56">
        <v>-0.40189300169282982</v>
      </c>
    </row>
    <row r="57" spans="2:37" x14ac:dyDescent="0.2">
      <c r="B57" s="1">
        <v>13.9</v>
      </c>
      <c r="C57" s="1">
        <v>1.68</v>
      </c>
      <c r="D57" s="1">
        <v>2.12</v>
      </c>
      <c r="E57" s="1">
        <v>16</v>
      </c>
      <c r="F57" s="1">
        <v>101</v>
      </c>
      <c r="G57" s="1">
        <v>3.1</v>
      </c>
      <c r="H57" s="1">
        <v>3.39</v>
      </c>
      <c r="I57" s="1">
        <v>0.21</v>
      </c>
      <c r="J57" s="1">
        <v>2.14</v>
      </c>
      <c r="K57" s="1">
        <v>6.1</v>
      </c>
      <c r="L57" s="1">
        <v>0.91</v>
      </c>
      <c r="M57" s="1">
        <v>3.33</v>
      </c>
      <c r="N57" s="1">
        <v>985</v>
      </c>
      <c r="O57" s="1">
        <v>0</v>
      </c>
      <c r="R57" s="1">
        <f t="shared" si="4"/>
        <v>0.53157894736842093</v>
      </c>
      <c r="S57" s="1">
        <f t="shared" si="5"/>
        <v>-0.60869565217391308</v>
      </c>
      <c r="T57" s="1">
        <f t="shared" si="6"/>
        <v>-2.6737967914438499E-2</v>
      </c>
      <c r="U57" s="1">
        <f t="shared" si="7"/>
        <v>-0.2989690721649485</v>
      </c>
      <c r="V57" s="1">
        <f t="shared" si="8"/>
        <v>-0.17391304347826086</v>
      </c>
      <c r="W57" s="1">
        <f t="shared" si="9"/>
        <v>0.31034482758620685</v>
      </c>
      <c r="X57" s="1">
        <f t="shared" si="10"/>
        <v>0.35021097046413496</v>
      </c>
      <c r="Y57" s="1">
        <f t="shared" si="11"/>
        <v>-0.28301886792452835</v>
      </c>
      <c r="Z57" s="1">
        <f t="shared" si="12"/>
        <v>5.3627760252366041E-2</v>
      </c>
      <c r="AA57" s="1">
        <f t="shared" si="13"/>
        <v>0.30034129692832767</v>
      </c>
      <c r="AB57" s="1">
        <f t="shared" si="14"/>
        <v>4.0650406504065151E-2</v>
      </c>
      <c r="AC57" s="1">
        <f t="shared" si="15"/>
        <v>0.34065934065934078</v>
      </c>
      <c r="AD57" s="1">
        <f t="shared" si="16"/>
        <v>0.40085592011412263</v>
      </c>
      <c r="AE57" s="1">
        <v>0</v>
      </c>
      <c r="AH57" t="s">
        <v>7</v>
      </c>
      <c r="AI57">
        <v>0.1316001578062026</v>
      </c>
      <c r="AJ57">
        <v>-0.55745360064494354</v>
      </c>
      <c r="AK57">
        <v>9.3648660255883809E-2</v>
      </c>
    </row>
    <row r="58" spans="2:37" x14ac:dyDescent="0.2">
      <c r="B58" s="1">
        <v>14.1</v>
      </c>
      <c r="C58" s="1">
        <v>2.02</v>
      </c>
      <c r="D58" s="1">
        <v>2.4</v>
      </c>
      <c r="E58" s="1">
        <v>18.8</v>
      </c>
      <c r="F58" s="1">
        <v>103</v>
      </c>
      <c r="G58" s="1">
        <v>2.75</v>
      </c>
      <c r="H58" s="1">
        <v>2.92</v>
      </c>
      <c r="I58" s="1">
        <v>0.32</v>
      </c>
      <c r="J58" s="1">
        <v>2.38</v>
      </c>
      <c r="K58" s="1">
        <v>6.2</v>
      </c>
      <c r="L58" s="1">
        <v>1.07</v>
      </c>
      <c r="M58" s="1">
        <v>2.75</v>
      </c>
      <c r="N58" s="1">
        <v>1060</v>
      </c>
      <c r="O58" s="1">
        <v>0</v>
      </c>
      <c r="R58" s="1">
        <f t="shared" si="4"/>
        <v>6.3157894736842524E-2</v>
      </c>
      <c r="S58" s="1">
        <f t="shared" si="5"/>
        <v>-0.60869565217391308</v>
      </c>
      <c r="T58" s="1">
        <f t="shared" si="6"/>
        <v>-0.27272727272727271</v>
      </c>
      <c r="U58" s="1">
        <f t="shared" si="7"/>
        <v>-0.81443298969072153</v>
      </c>
      <c r="V58" s="1">
        <f t="shared" si="8"/>
        <v>-0.52173913043478259</v>
      </c>
      <c r="W58" s="1">
        <f t="shared" si="9"/>
        <v>0.20000000000000018</v>
      </c>
      <c r="X58" s="1">
        <f t="shared" si="10"/>
        <v>0.23628691983122363</v>
      </c>
      <c r="Y58" s="1">
        <f t="shared" si="11"/>
        <v>-0.84905660377358494</v>
      </c>
      <c r="Z58" s="1">
        <f t="shared" si="12"/>
        <v>0.57728706624605675</v>
      </c>
      <c r="AA58" s="1">
        <f t="shared" si="13"/>
        <v>1.0238907849829282E-2</v>
      </c>
      <c r="AB58" s="1">
        <f t="shared" si="14"/>
        <v>4.0650406504065151E-2</v>
      </c>
      <c r="AC58" s="1">
        <f t="shared" si="15"/>
        <v>0.20146520146520164</v>
      </c>
      <c r="AD58" s="1">
        <f t="shared" si="16"/>
        <v>0.24393723252496424</v>
      </c>
      <c r="AE58" s="1">
        <v>0</v>
      </c>
      <c r="AH58" t="s">
        <v>8</v>
      </c>
      <c r="AI58">
        <v>0.58741035115432816</v>
      </c>
      <c r="AJ58">
        <v>-0.36992649803615668</v>
      </c>
      <c r="AK58">
        <v>-0.87752882890829642</v>
      </c>
    </row>
    <row r="59" spans="2:37" x14ac:dyDescent="0.2">
      <c r="B59" s="1">
        <v>13.94</v>
      </c>
      <c r="C59" s="1">
        <v>1.73</v>
      </c>
      <c r="D59" s="1">
        <v>2.27</v>
      </c>
      <c r="E59" s="1">
        <v>17.399999999999999</v>
      </c>
      <c r="F59" s="1">
        <v>108</v>
      </c>
      <c r="G59" s="1">
        <v>2.88</v>
      </c>
      <c r="H59" s="1">
        <v>3.54</v>
      </c>
      <c r="I59" s="1">
        <v>0.32</v>
      </c>
      <c r="J59" s="1">
        <v>2.08</v>
      </c>
      <c r="K59" s="1">
        <v>8.9</v>
      </c>
      <c r="L59" s="1">
        <v>1.1200000000000001</v>
      </c>
      <c r="M59" s="1">
        <v>3.1</v>
      </c>
      <c r="N59" s="1">
        <v>1260</v>
      </c>
      <c r="O59" s="1">
        <v>0</v>
      </c>
      <c r="R59" s="1">
        <f t="shared" si="4"/>
        <v>0.47368421052631593</v>
      </c>
      <c r="S59" s="1">
        <f t="shared" si="5"/>
        <v>-0.64031620553359692</v>
      </c>
      <c r="T59" s="1">
        <f t="shared" si="6"/>
        <v>0.3262032085561497</v>
      </c>
      <c r="U59" s="1">
        <f t="shared" si="7"/>
        <v>-0.31958762886597936</v>
      </c>
      <c r="V59" s="1">
        <f t="shared" si="8"/>
        <v>-0.47826086956521741</v>
      </c>
      <c r="W59" s="1">
        <f t="shared" si="9"/>
        <v>1.3793103448276112E-2</v>
      </c>
      <c r="X59" s="1">
        <f t="shared" si="10"/>
        <v>0.11814345991561193</v>
      </c>
      <c r="Y59" s="1">
        <f t="shared" si="11"/>
        <v>-0.66037735849056611</v>
      </c>
      <c r="Z59" s="1">
        <f t="shared" si="12"/>
        <v>0.18611987381703488</v>
      </c>
      <c r="AA59" s="1">
        <f t="shared" si="13"/>
        <v>-0.26279863481228682</v>
      </c>
      <c r="AB59" s="1">
        <f t="shared" si="14"/>
        <v>0.2357723577235773</v>
      </c>
      <c r="AC59" s="1">
        <f t="shared" si="15"/>
        <v>0.53846153846153855</v>
      </c>
      <c r="AD59" s="1">
        <f t="shared" si="16"/>
        <v>0.40798858773181168</v>
      </c>
      <c r="AE59" s="1">
        <v>0</v>
      </c>
      <c r="AH59" t="s">
        <v>9</v>
      </c>
      <c r="AI59">
        <v>-0.64804360105239212</v>
      </c>
      <c r="AJ59">
        <v>-0.44695005579967167</v>
      </c>
      <c r="AK59">
        <v>-8.1263396083324987E-2</v>
      </c>
    </row>
    <row r="60" spans="2:37" x14ac:dyDescent="0.2">
      <c r="B60" s="1">
        <v>13.05</v>
      </c>
      <c r="C60" s="1">
        <v>1.73</v>
      </c>
      <c r="D60" s="1">
        <v>2.04</v>
      </c>
      <c r="E60" s="1">
        <v>12.4</v>
      </c>
      <c r="F60" s="1">
        <v>92</v>
      </c>
      <c r="G60" s="1">
        <v>2.72</v>
      </c>
      <c r="H60" s="1">
        <v>3.27</v>
      </c>
      <c r="I60" s="1">
        <v>0.17</v>
      </c>
      <c r="J60" s="1">
        <v>2.91</v>
      </c>
      <c r="K60" s="1">
        <v>7.2</v>
      </c>
      <c r="L60" s="1">
        <v>1.1200000000000001</v>
      </c>
      <c r="M60" s="1">
        <v>2.91</v>
      </c>
      <c r="N60" s="1">
        <v>1150</v>
      </c>
      <c r="O60" s="1">
        <v>0</v>
      </c>
      <c r="R60" s="1">
        <f t="shared" si="4"/>
        <v>0.46842105263157907</v>
      </c>
      <c r="S60" s="1">
        <f t="shared" si="5"/>
        <v>-0.60079051383399207</v>
      </c>
      <c r="T60" s="1">
        <f t="shared" si="6"/>
        <v>0.13368983957219238</v>
      </c>
      <c r="U60" s="1">
        <f t="shared" si="7"/>
        <v>-0.64948453608247414</v>
      </c>
      <c r="V60" s="1">
        <f t="shared" si="8"/>
        <v>-0.10869565217391308</v>
      </c>
      <c r="W60" s="1">
        <f t="shared" si="9"/>
        <v>1</v>
      </c>
      <c r="X60" s="1">
        <f t="shared" si="10"/>
        <v>0.43459915611814348</v>
      </c>
      <c r="Y60" s="1">
        <f t="shared" si="11"/>
        <v>-0.28301886792452835</v>
      </c>
      <c r="Z60" s="1">
        <f t="shared" si="12"/>
        <v>-7.8864353312302682E-2</v>
      </c>
      <c r="AA60" s="1">
        <f t="shared" si="13"/>
        <v>-1.5358361774744145E-2</v>
      </c>
      <c r="AB60" s="1">
        <f t="shared" si="14"/>
        <v>-0.13821138211382111</v>
      </c>
      <c r="AC60" s="1">
        <f t="shared" si="15"/>
        <v>0.4578754578754578</v>
      </c>
      <c r="AD60" s="1">
        <f t="shared" si="16"/>
        <v>0.3009985734664764</v>
      </c>
      <c r="AE60" s="1">
        <v>0</v>
      </c>
      <c r="AH60" t="s">
        <v>10</v>
      </c>
      <c r="AI60">
        <v>0.82392248074854912</v>
      </c>
      <c r="AJ60">
        <v>-0.27152303019635893</v>
      </c>
      <c r="AK60">
        <v>-1.1469297072148401</v>
      </c>
    </row>
    <row r="61" spans="2:37" x14ac:dyDescent="0.2">
      <c r="B61" s="1">
        <v>13.83</v>
      </c>
      <c r="C61" s="1">
        <v>1.65</v>
      </c>
      <c r="D61" s="1">
        <v>2.6</v>
      </c>
      <c r="E61" s="1">
        <v>17.2</v>
      </c>
      <c r="F61" s="1">
        <v>94</v>
      </c>
      <c r="G61" s="1">
        <v>2.4500000000000002</v>
      </c>
      <c r="H61" s="1">
        <v>2.99</v>
      </c>
      <c r="I61" s="1">
        <v>0.22</v>
      </c>
      <c r="J61" s="1">
        <v>2.29</v>
      </c>
      <c r="K61" s="1">
        <v>5.6</v>
      </c>
      <c r="L61" s="1">
        <v>1.24</v>
      </c>
      <c r="M61" s="1">
        <v>3.37</v>
      </c>
      <c r="N61" s="1">
        <v>1265</v>
      </c>
      <c r="O61" s="1">
        <v>0</v>
      </c>
      <c r="R61" s="1">
        <f t="shared" si="4"/>
        <v>0.44210526315789456</v>
      </c>
      <c r="S61" s="1">
        <f t="shared" si="5"/>
        <v>-0.54150197628458496</v>
      </c>
      <c r="T61" s="1">
        <f t="shared" si="6"/>
        <v>0.41176470588235303</v>
      </c>
      <c r="U61" s="1">
        <f t="shared" si="7"/>
        <v>-0.32989690721649456</v>
      </c>
      <c r="V61" s="1">
        <f t="shared" si="8"/>
        <v>-2.1739130434782594E-2</v>
      </c>
      <c r="W61" s="1">
        <f t="shared" si="9"/>
        <v>0.39310344827586219</v>
      </c>
      <c r="X61" s="1">
        <f t="shared" si="10"/>
        <v>3.3755274261603407E-2</v>
      </c>
      <c r="Y61" s="1">
        <f t="shared" si="11"/>
        <v>-1.8867924528301883E-2</v>
      </c>
      <c r="Z61" s="1">
        <f t="shared" si="12"/>
        <v>-0.19873817034700314</v>
      </c>
      <c r="AA61" s="1">
        <f t="shared" si="13"/>
        <v>-0.14334470989761106</v>
      </c>
      <c r="AB61" s="1">
        <f t="shared" si="14"/>
        <v>5.6910569105691033E-2</v>
      </c>
      <c r="AC61" s="1">
        <f t="shared" si="15"/>
        <v>0.21611721611721624</v>
      </c>
      <c r="AD61" s="1">
        <f t="shared" si="16"/>
        <v>0.56490727532097007</v>
      </c>
      <c r="AE61" s="1">
        <v>0</v>
      </c>
      <c r="AH61" t="s">
        <v>11</v>
      </c>
      <c r="AI61">
        <v>-4.2907546899573289E-2</v>
      </c>
      <c r="AJ61">
        <v>1.0512405180879349</v>
      </c>
      <c r="AK61">
        <v>-0.1226385494265059</v>
      </c>
    </row>
    <row r="62" spans="2:37" x14ac:dyDescent="0.2">
      <c r="B62" s="1">
        <v>13.82</v>
      </c>
      <c r="C62" s="1">
        <v>1.75</v>
      </c>
      <c r="D62" s="1">
        <v>2.42</v>
      </c>
      <c r="E62" s="1">
        <v>14</v>
      </c>
      <c r="F62" s="1">
        <v>111</v>
      </c>
      <c r="G62" s="1">
        <v>3.88</v>
      </c>
      <c r="H62" s="1">
        <v>3.74</v>
      </c>
      <c r="I62" s="1">
        <v>0.32</v>
      </c>
      <c r="J62" s="1">
        <v>1.87</v>
      </c>
      <c r="K62" s="1">
        <v>7.05</v>
      </c>
      <c r="L62" s="1">
        <v>1.01</v>
      </c>
      <c r="M62" s="1">
        <v>3.26</v>
      </c>
      <c r="N62" s="1">
        <v>1190</v>
      </c>
      <c r="O62" s="1">
        <v>0</v>
      </c>
      <c r="R62" s="1">
        <f t="shared" si="4"/>
        <v>0.42631578947368443</v>
      </c>
      <c r="S62" s="1">
        <f t="shared" si="5"/>
        <v>-0.6324110671936759</v>
      </c>
      <c r="T62" s="1">
        <f t="shared" si="6"/>
        <v>-4.8128342245989386E-2</v>
      </c>
      <c r="U62" s="1">
        <f t="shared" si="7"/>
        <v>-0.40206185567010311</v>
      </c>
      <c r="V62" s="1">
        <f t="shared" si="8"/>
        <v>4.3478260869565188E-2</v>
      </c>
      <c r="W62" s="1">
        <f t="shared" si="9"/>
        <v>0.11724137931034484</v>
      </c>
      <c r="X62" s="1">
        <f t="shared" si="10"/>
        <v>8.0168776371307926E-2</v>
      </c>
      <c r="Y62" s="1">
        <f t="shared" si="11"/>
        <v>-0.69811320754716988</v>
      </c>
      <c r="Z62" s="1">
        <f t="shared" si="12"/>
        <v>-0.23659305993690838</v>
      </c>
      <c r="AA62" s="1">
        <f t="shared" si="13"/>
        <v>-0.22013651877133122</v>
      </c>
      <c r="AB62" s="1">
        <f t="shared" si="14"/>
        <v>-0.28455284552845517</v>
      </c>
      <c r="AC62" s="1">
        <f t="shared" si="15"/>
        <v>0.413919413919414</v>
      </c>
      <c r="AD62" s="1">
        <f t="shared" si="16"/>
        <v>0.11554921540656204</v>
      </c>
      <c r="AE62" s="1">
        <v>0</v>
      </c>
      <c r="AH62" t="s">
        <v>12</v>
      </c>
      <c r="AI62">
        <v>-0.93985515164099942</v>
      </c>
      <c r="AJ62">
        <v>-6.9517441277129249E-2</v>
      </c>
      <c r="AK62">
        <v>-0.19117476449660389</v>
      </c>
    </row>
    <row r="63" spans="2:37" x14ac:dyDescent="0.2">
      <c r="B63" s="1">
        <v>13.77</v>
      </c>
      <c r="C63" s="1">
        <v>1.9</v>
      </c>
      <c r="D63" s="1">
        <v>2.68</v>
      </c>
      <c r="E63" s="1">
        <v>17.100000000000001</v>
      </c>
      <c r="F63" s="1">
        <v>115</v>
      </c>
      <c r="G63" s="1">
        <v>3</v>
      </c>
      <c r="H63" s="1">
        <v>2.79</v>
      </c>
      <c r="I63" s="1">
        <v>0.39</v>
      </c>
      <c r="J63" s="1">
        <v>1.68</v>
      </c>
      <c r="K63" s="1">
        <v>6.3</v>
      </c>
      <c r="L63" s="1">
        <v>1.1299999999999999</v>
      </c>
      <c r="M63" s="1">
        <v>2.93</v>
      </c>
      <c r="N63" s="1">
        <v>1375</v>
      </c>
      <c r="O63" s="1">
        <v>0</v>
      </c>
      <c r="R63" s="1">
        <f t="shared" si="4"/>
        <v>0.33157894736842142</v>
      </c>
      <c r="S63" s="1">
        <f t="shared" si="5"/>
        <v>-0.60869565217391308</v>
      </c>
      <c r="T63" s="1">
        <f t="shared" si="6"/>
        <v>0.17647058823529416</v>
      </c>
      <c r="U63" s="1">
        <f t="shared" si="7"/>
        <v>2.0618556701031077E-2</v>
      </c>
      <c r="V63" s="1">
        <f t="shared" si="8"/>
        <v>0</v>
      </c>
      <c r="W63" s="1">
        <f t="shared" si="9"/>
        <v>0.36551724137931041</v>
      </c>
      <c r="X63" s="1">
        <f t="shared" si="10"/>
        <v>2.9535864978902815E-2</v>
      </c>
      <c r="Y63" s="1">
        <f t="shared" si="11"/>
        <v>-0.73584905660377364</v>
      </c>
      <c r="Z63" s="1">
        <f t="shared" si="12"/>
        <v>0.28706624605678233</v>
      </c>
      <c r="AA63" s="1">
        <f t="shared" si="13"/>
        <v>-0.15187713310580209</v>
      </c>
      <c r="AB63" s="1">
        <f t="shared" si="14"/>
        <v>-0.18699186991869921</v>
      </c>
      <c r="AC63" s="1">
        <f t="shared" si="15"/>
        <v>0.28937728937728924</v>
      </c>
      <c r="AD63" s="1">
        <f t="shared" si="16"/>
        <v>0.20114122681883018</v>
      </c>
      <c r="AE63" s="1">
        <v>0</v>
      </c>
    </row>
    <row r="64" spans="2:37" x14ac:dyDescent="0.2">
      <c r="B64" s="1">
        <v>13.74</v>
      </c>
      <c r="C64" s="1">
        <v>1.67</v>
      </c>
      <c r="D64" s="1">
        <v>2.25</v>
      </c>
      <c r="E64" s="1">
        <v>16.399999999999999</v>
      </c>
      <c r="F64" s="1">
        <v>118</v>
      </c>
      <c r="G64" s="1">
        <v>2.6</v>
      </c>
      <c r="H64" s="1">
        <v>2.9</v>
      </c>
      <c r="I64" s="1">
        <v>0.21</v>
      </c>
      <c r="J64" s="1">
        <v>1.62</v>
      </c>
      <c r="K64" s="1">
        <v>5.85</v>
      </c>
      <c r="L64" s="1">
        <v>0.92</v>
      </c>
      <c r="M64" s="1">
        <v>3.2</v>
      </c>
      <c r="N64" s="1">
        <v>1060</v>
      </c>
      <c r="O64" s="1">
        <v>0</v>
      </c>
      <c r="R64" s="1">
        <f t="shared" si="4"/>
        <v>0.67894736842105297</v>
      </c>
      <c r="S64" s="1">
        <f t="shared" si="5"/>
        <v>-0.62055335968379444</v>
      </c>
      <c r="T64" s="1">
        <f t="shared" si="6"/>
        <v>5.3475935828874999E-3</v>
      </c>
      <c r="U64" s="1">
        <f t="shared" si="7"/>
        <v>-0.41237113402061842</v>
      </c>
      <c r="V64" s="1">
        <f t="shared" si="8"/>
        <v>4.3478260869565188E-2</v>
      </c>
      <c r="W64" s="1">
        <f t="shared" si="9"/>
        <v>0.53103448275862086</v>
      </c>
      <c r="X64" s="1">
        <f t="shared" si="10"/>
        <v>0.1223628691983123</v>
      </c>
      <c r="Y64" s="1">
        <f t="shared" si="11"/>
        <v>-0.50943396226415094</v>
      </c>
      <c r="Z64" s="1">
        <f t="shared" si="12"/>
        <v>2.2082018927444658E-2</v>
      </c>
      <c r="AA64" s="1">
        <f t="shared" si="13"/>
        <v>-0.12969283276450527</v>
      </c>
      <c r="AB64" s="1">
        <f t="shared" si="14"/>
        <v>-0.25203252032520329</v>
      </c>
      <c r="AC64" s="1">
        <f t="shared" si="15"/>
        <v>0.49450549450549453</v>
      </c>
      <c r="AD64" s="1">
        <f t="shared" si="16"/>
        <v>-1.2838801711840264E-2</v>
      </c>
      <c r="AE64" s="1">
        <v>0</v>
      </c>
    </row>
    <row r="65" spans="2:31" x14ac:dyDescent="0.2">
      <c r="B65" s="1">
        <v>13.56</v>
      </c>
      <c r="C65" s="1">
        <v>1.73</v>
      </c>
      <c r="D65" s="1">
        <v>2.46</v>
      </c>
      <c r="E65" s="1">
        <v>20.5</v>
      </c>
      <c r="F65" s="1">
        <v>116</v>
      </c>
      <c r="G65" s="1">
        <v>2.96</v>
      </c>
      <c r="H65" s="1">
        <v>2.78</v>
      </c>
      <c r="I65" s="1">
        <v>0.2</v>
      </c>
      <c r="J65" s="1">
        <v>2.4500000000000002</v>
      </c>
      <c r="K65" s="1">
        <v>6.25</v>
      </c>
      <c r="L65" s="1">
        <v>0.98</v>
      </c>
      <c r="M65" s="1">
        <v>3.03</v>
      </c>
      <c r="N65" s="1">
        <v>1120</v>
      </c>
      <c r="O65" s="1">
        <v>0</v>
      </c>
      <c r="R65" s="1">
        <f t="shared" si="4"/>
        <v>0.18947368421052602</v>
      </c>
      <c r="S65" s="1">
        <f t="shared" si="5"/>
        <v>-0.51383399209486158</v>
      </c>
      <c r="T65" s="1">
        <f t="shared" si="6"/>
        <v>0.41176470588235303</v>
      </c>
      <c r="U65" s="1">
        <f t="shared" si="7"/>
        <v>-0.36082474226804107</v>
      </c>
      <c r="V65" s="1">
        <f t="shared" si="8"/>
        <v>-0.30434782608695654</v>
      </c>
      <c r="W65" s="1">
        <f t="shared" si="9"/>
        <v>0.39310344827586219</v>
      </c>
      <c r="X65" s="1">
        <f t="shared" si="10"/>
        <v>0.21940928270042193</v>
      </c>
      <c r="Y65" s="1">
        <f t="shared" si="11"/>
        <v>-0.32075471698113212</v>
      </c>
      <c r="Z65" s="1">
        <f t="shared" si="12"/>
        <v>-0.21135646687697163</v>
      </c>
      <c r="AA65" s="1">
        <f t="shared" si="13"/>
        <v>-0.1945392491467578</v>
      </c>
      <c r="AB65" s="1">
        <f t="shared" si="14"/>
        <v>-4.0650406504064929E-2</v>
      </c>
      <c r="AC65" s="1">
        <f t="shared" si="15"/>
        <v>0.15018315018315009</v>
      </c>
      <c r="AD65" s="1">
        <f t="shared" si="16"/>
        <v>0.41512125534950073</v>
      </c>
      <c r="AE65" s="1">
        <v>0</v>
      </c>
    </row>
    <row r="66" spans="2:31" x14ac:dyDescent="0.2">
      <c r="B66" s="1">
        <v>14.22</v>
      </c>
      <c r="C66" s="1">
        <v>1.7</v>
      </c>
      <c r="D66" s="1">
        <v>2.2999999999999998</v>
      </c>
      <c r="E66" s="1">
        <v>16.3</v>
      </c>
      <c r="F66" s="1">
        <v>118</v>
      </c>
      <c r="G66" s="1">
        <v>3.2</v>
      </c>
      <c r="H66" s="1">
        <v>3</v>
      </c>
      <c r="I66" s="1">
        <v>0.26</v>
      </c>
      <c r="J66" s="1">
        <v>2.0299999999999998</v>
      </c>
      <c r="K66" s="1">
        <v>6.38</v>
      </c>
      <c r="L66" s="1">
        <v>0.94</v>
      </c>
      <c r="M66" s="1">
        <v>3.31</v>
      </c>
      <c r="N66" s="1">
        <v>970</v>
      </c>
      <c r="O66" s="1">
        <v>0</v>
      </c>
      <c r="R66" s="1">
        <f t="shared" si="4"/>
        <v>0.41578947368421093</v>
      </c>
      <c r="S66" s="1">
        <f t="shared" si="5"/>
        <v>-0.72727272727272729</v>
      </c>
      <c r="T66" s="1">
        <f t="shared" si="6"/>
        <v>0.21925133689839571</v>
      </c>
      <c r="U66" s="1">
        <f t="shared" si="7"/>
        <v>-0.37113402061855671</v>
      </c>
      <c r="V66" s="1">
        <f t="shared" si="8"/>
        <v>-0.17391304347826086</v>
      </c>
      <c r="W66" s="1">
        <f t="shared" si="9"/>
        <v>0.66896551724137931</v>
      </c>
      <c r="X66" s="1">
        <f t="shared" si="10"/>
        <v>0.40506329113924044</v>
      </c>
      <c r="Y66" s="1">
        <f t="shared" si="11"/>
        <v>-0.77358490566037741</v>
      </c>
      <c r="Z66" s="1">
        <f t="shared" si="12"/>
        <v>2.8391167192429068E-2</v>
      </c>
      <c r="AA66" s="1">
        <f t="shared" si="13"/>
        <v>-5.8020477815699745E-2</v>
      </c>
      <c r="AB66" s="1">
        <f t="shared" si="14"/>
        <v>-0.33333333333333326</v>
      </c>
      <c r="AC66" s="1">
        <f t="shared" si="15"/>
        <v>0.17216117216117222</v>
      </c>
      <c r="AD66" s="1">
        <f t="shared" si="16"/>
        <v>0.43651925820256765</v>
      </c>
      <c r="AE66" s="1">
        <v>0</v>
      </c>
    </row>
    <row r="67" spans="2:31" x14ac:dyDescent="0.2">
      <c r="B67" s="1">
        <v>13.29</v>
      </c>
      <c r="C67" s="1">
        <v>1.97</v>
      </c>
      <c r="D67" s="1">
        <v>2.68</v>
      </c>
      <c r="E67" s="1">
        <v>16.8</v>
      </c>
      <c r="F67" s="1">
        <v>102</v>
      </c>
      <c r="G67" s="1">
        <v>3</v>
      </c>
      <c r="H67" s="1">
        <v>3.23</v>
      </c>
      <c r="I67" s="1">
        <v>0.31</v>
      </c>
      <c r="J67" s="1">
        <v>1.66</v>
      </c>
      <c r="K67" s="1">
        <v>6</v>
      </c>
      <c r="L67" s="1">
        <v>1.07</v>
      </c>
      <c r="M67" s="1">
        <v>2.84</v>
      </c>
      <c r="N67" s="1">
        <v>1270</v>
      </c>
      <c r="O67" s="1">
        <v>0</v>
      </c>
      <c r="R67" s="1">
        <f t="shared" si="4"/>
        <v>-0.29473684210526341</v>
      </c>
      <c r="S67" s="1">
        <f t="shared" si="5"/>
        <v>-0.92094861660079053</v>
      </c>
      <c r="T67" s="1">
        <f t="shared" si="6"/>
        <v>-1</v>
      </c>
      <c r="U67" s="1">
        <f t="shared" si="7"/>
        <v>-1</v>
      </c>
      <c r="V67" s="1">
        <f t="shared" si="8"/>
        <v>-0.60869565217391308</v>
      </c>
      <c r="W67" s="1">
        <f t="shared" si="9"/>
        <v>-0.31034482758620685</v>
      </c>
      <c r="X67" s="1">
        <f t="shared" si="10"/>
        <v>-0.90295358649789037</v>
      </c>
      <c r="Y67" s="1">
        <f t="shared" si="11"/>
        <v>-0.4339622641509433</v>
      </c>
      <c r="Z67" s="1">
        <f t="shared" si="12"/>
        <v>-0.99369085173501581</v>
      </c>
      <c r="AA67" s="1">
        <f t="shared" si="13"/>
        <v>-0.88566552901023887</v>
      </c>
      <c r="AB67" s="1">
        <f t="shared" si="14"/>
        <v>-7.3170731707316916E-2</v>
      </c>
      <c r="AC67" s="1">
        <f t="shared" si="15"/>
        <v>-0.59706959706959706</v>
      </c>
      <c r="AD67" s="1">
        <f t="shared" si="16"/>
        <v>-0.65477888730385159</v>
      </c>
      <c r="AE67" s="1">
        <v>1</v>
      </c>
    </row>
    <row r="68" spans="2:31" x14ac:dyDescent="0.2">
      <c r="B68" s="1">
        <v>13.72</v>
      </c>
      <c r="C68" s="1">
        <v>1.43</v>
      </c>
      <c r="D68" s="1">
        <v>2.5</v>
      </c>
      <c r="E68" s="1">
        <v>16.7</v>
      </c>
      <c r="F68" s="1">
        <v>108</v>
      </c>
      <c r="G68" s="1">
        <v>3.4</v>
      </c>
      <c r="H68" s="1">
        <v>3.67</v>
      </c>
      <c r="I68" s="1">
        <v>0.19</v>
      </c>
      <c r="J68" s="1">
        <v>2.04</v>
      </c>
      <c r="K68" s="1">
        <v>6.8</v>
      </c>
      <c r="L68" s="1">
        <v>0.89</v>
      </c>
      <c r="M68" s="1">
        <v>2.87</v>
      </c>
      <c r="N68" s="1">
        <v>1285</v>
      </c>
      <c r="O68" s="1">
        <v>0</v>
      </c>
      <c r="R68" s="1">
        <f t="shared" si="4"/>
        <v>-0.31578947368421029</v>
      </c>
      <c r="S68" s="1">
        <f t="shared" si="5"/>
        <v>-0.85770750988142286</v>
      </c>
      <c r="T68" s="1">
        <f t="shared" si="6"/>
        <v>-1.6042780748663388E-2</v>
      </c>
      <c r="U68" s="1">
        <f t="shared" si="7"/>
        <v>-0.44329896907216482</v>
      </c>
      <c r="V68" s="1">
        <f t="shared" si="8"/>
        <v>-0.32608695652173914</v>
      </c>
      <c r="W68" s="1">
        <f t="shared" si="9"/>
        <v>-0.26206896551724146</v>
      </c>
      <c r="X68" s="1">
        <f t="shared" si="10"/>
        <v>-0.68354430379746844</v>
      </c>
      <c r="Y68" s="1">
        <f t="shared" si="11"/>
        <v>0.88679245283018848</v>
      </c>
      <c r="Z68" s="1">
        <f t="shared" si="12"/>
        <v>-1</v>
      </c>
      <c r="AA68" s="1">
        <f t="shared" si="13"/>
        <v>-0.66040955631399312</v>
      </c>
      <c r="AB68" s="1">
        <f t="shared" si="14"/>
        <v>0.2520325203252034</v>
      </c>
      <c r="AC68" s="1">
        <f t="shared" si="15"/>
        <v>-0.706959706959707</v>
      </c>
      <c r="AD68" s="1">
        <f t="shared" si="16"/>
        <v>-0.42653352353780316</v>
      </c>
      <c r="AE68" s="1">
        <v>1</v>
      </c>
    </row>
    <row r="69" spans="2:31" x14ac:dyDescent="0.2">
      <c r="B69" s="1">
        <v>12.37</v>
      </c>
      <c r="C69" s="1">
        <v>0.94</v>
      </c>
      <c r="D69" s="1">
        <v>1.36</v>
      </c>
      <c r="E69" s="1">
        <v>10.6</v>
      </c>
      <c r="F69" s="1">
        <v>88</v>
      </c>
      <c r="G69" s="1">
        <v>1.98</v>
      </c>
      <c r="H69" s="1">
        <v>0.56999999999999995</v>
      </c>
      <c r="I69" s="1">
        <v>0.28000000000000003</v>
      </c>
      <c r="J69" s="1">
        <v>0.42</v>
      </c>
      <c r="K69" s="1">
        <v>1.95</v>
      </c>
      <c r="L69" s="1">
        <v>1.05</v>
      </c>
      <c r="M69" s="1">
        <v>1.82</v>
      </c>
      <c r="N69" s="1">
        <v>520</v>
      </c>
      <c r="O69" s="1">
        <v>1</v>
      </c>
      <c r="R69" s="1">
        <f t="shared" si="4"/>
        <v>-0.1526315789473679</v>
      </c>
      <c r="S69" s="1">
        <f t="shared" si="5"/>
        <v>-0.75494071146245056</v>
      </c>
      <c r="T69" s="1">
        <f t="shared" si="6"/>
        <v>-0.29411764705882359</v>
      </c>
      <c r="U69" s="1">
        <f t="shared" si="7"/>
        <v>-0.36082474226804107</v>
      </c>
      <c r="V69" s="1">
        <f t="shared" si="8"/>
        <v>-0.34782608695652173</v>
      </c>
      <c r="W69" s="1">
        <f t="shared" si="9"/>
        <v>-0.28275862068965507</v>
      </c>
      <c r="X69" s="1">
        <f t="shared" si="10"/>
        <v>-0.54852320675105493</v>
      </c>
      <c r="Y69" s="1">
        <f t="shared" si="11"/>
        <v>0.50943396226415105</v>
      </c>
      <c r="Z69" s="1">
        <f t="shared" si="12"/>
        <v>-0.86750788643533117</v>
      </c>
      <c r="AA69" s="1">
        <f t="shared" si="13"/>
        <v>-0.2372013651877134</v>
      </c>
      <c r="AB69" s="1">
        <f t="shared" si="14"/>
        <v>-0.18699186991869921</v>
      </c>
      <c r="AC69" s="1">
        <f t="shared" si="15"/>
        <v>-0.76556776556776551</v>
      </c>
      <c r="AD69" s="1">
        <f t="shared" si="16"/>
        <v>-0.75463623395149781</v>
      </c>
      <c r="AE69" s="1">
        <v>1</v>
      </c>
    </row>
    <row r="70" spans="2:31" x14ac:dyDescent="0.2">
      <c r="B70" s="1">
        <v>12.33</v>
      </c>
      <c r="C70" s="1">
        <v>1.1000000000000001</v>
      </c>
      <c r="D70" s="1">
        <v>2.2799999999999998</v>
      </c>
      <c r="E70" s="1">
        <v>16</v>
      </c>
      <c r="F70" s="1">
        <v>101</v>
      </c>
      <c r="G70" s="1">
        <v>2.0499999999999998</v>
      </c>
      <c r="H70" s="1">
        <v>1.0900000000000001</v>
      </c>
      <c r="I70" s="1">
        <v>0.63</v>
      </c>
      <c r="J70" s="1">
        <v>0.41</v>
      </c>
      <c r="K70" s="1">
        <v>3.27</v>
      </c>
      <c r="L70" s="1">
        <v>1.25</v>
      </c>
      <c r="M70" s="1">
        <v>1.67</v>
      </c>
      <c r="N70" s="1">
        <v>680</v>
      </c>
      <c r="O70" s="1">
        <v>1</v>
      </c>
      <c r="R70" s="1">
        <f t="shared" si="4"/>
        <v>0.38947368421052642</v>
      </c>
      <c r="S70" s="1">
        <f t="shared" si="5"/>
        <v>-0.79841897233201575</v>
      </c>
      <c r="T70" s="1">
        <f t="shared" si="6"/>
        <v>-0.4010695187165777</v>
      </c>
      <c r="U70" s="1">
        <f t="shared" si="7"/>
        <v>-0.2371134020618556</v>
      </c>
      <c r="V70" s="1">
        <f t="shared" si="8"/>
        <v>-0.47826086956521741</v>
      </c>
      <c r="W70" s="1">
        <f t="shared" si="9"/>
        <v>-0.22758620689655162</v>
      </c>
      <c r="X70" s="1">
        <f t="shared" si="10"/>
        <v>-0.38818565400843885</v>
      </c>
      <c r="Y70" s="1">
        <f t="shared" si="11"/>
        <v>-0.28301886792452835</v>
      </c>
      <c r="Z70" s="1">
        <f t="shared" si="12"/>
        <v>-0.79810725552050465</v>
      </c>
      <c r="AA70" s="1">
        <f t="shared" si="13"/>
        <v>-0.56996587030716728</v>
      </c>
      <c r="AB70" s="1">
        <f t="shared" si="14"/>
        <v>0.21951219512195119</v>
      </c>
      <c r="AC70" s="1">
        <f t="shared" si="15"/>
        <v>-0.12820512820512819</v>
      </c>
      <c r="AD70" s="1">
        <f t="shared" si="16"/>
        <v>-0.49786019971469331</v>
      </c>
      <c r="AE70" s="1">
        <v>1</v>
      </c>
    </row>
    <row r="71" spans="2:31" x14ac:dyDescent="0.2">
      <c r="B71" s="1">
        <v>12.64</v>
      </c>
      <c r="C71" s="1">
        <v>1.36</v>
      </c>
      <c r="D71" s="1">
        <v>2.02</v>
      </c>
      <c r="E71" s="1">
        <v>16.8</v>
      </c>
      <c r="F71" s="1">
        <v>100</v>
      </c>
      <c r="G71" s="1">
        <v>2.02</v>
      </c>
      <c r="H71" s="1">
        <v>1.41</v>
      </c>
      <c r="I71" s="1">
        <v>0.53</v>
      </c>
      <c r="J71" s="1">
        <v>0.62</v>
      </c>
      <c r="K71" s="1">
        <v>5.75</v>
      </c>
      <c r="L71" s="1">
        <v>0.98</v>
      </c>
      <c r="M71" s="1">
        <v>1.59</v>
      </c>
      <c r="N71" s="1">
        <v>450</v>
      </c>
      <c r="O71" s="1">
        <v>1</v>
      </c>
      <c r="R71" s="1">
        <f t="shared" si="4"/>
        <v>-0.29473684210526341</v>
      </c>
      <c r="S71" s="1">
        <f t="shared" si="5"/>
        <v>-0.8458498023715415</v>
      </c>
      <c r="T71" s="1">
        <f t="shared" si="6"/>
        <v>-0.14438502673796783</v>
      </c>
      <c r="U71" s="1">
        <f t="shared" si="7"/>
        <v>-0.13402061855670089</v>
      </c>
      <c r="V71" s="1">
        <f t="shared" si="8"/>
        <v>-0.63043478260869568</v>
      </c>
      <c r="W71" s="1">
        <f t="shared" si="9"/>
        <v>0.73793103448275876</v>
      </c>
      <c r="X71" s="1">
        <f t="shared" si="10"/>
        <v>0.16455696202531644</v>
      </c>
      <c r="Y71" s="1">
        <f t="shared" si="11"/>
        <v>-0.77358490566037741</v>
      </c>
      <c r="Z71" s="1">
        <f t="shared" si="12"/>
        <v>-7.8864353312302682E-2</v>
      </c>
      <c r="AA71" s="1">
        <f t="shared" si="13"/>
        <v>-0.45904436860068265</v>
      </c>
      <c r="AB71" s="1">
        <f t="shared" si="14"/>
        <v>0.20325203252032531</v>
      </c>
      <c r="AC71" s="1">
        <f t="shared" si="15"/>
        <v>0.17216117216117222</v>
      </c>
      <c r="AD71" s="1">
        <f t="shared" si="16"/>
        <v>-0.79743223965763199</v>
      </c>
      <c r="AE71" s="1">
        <v>1</v>
      </c>
    </row>
    <row r="72" spans="2:31" x14ac:dyDescent="0.2">
      <c r="B72" s="1">
        <v>13.67</v>
      </c>
      <c r="C72" s="1">
        <v>1.25</v>
      </c>
      <c r="D72" s="1">
        <v>1.92</v>
      </c>
      <c r="E72" s="1">
        <v>18</v>
      </c>
      <c r="F72" s="1">
        <v>94</v>
      </c>
      <c r="G72" s="1">
        <v>2.1</v>
      </c>
      <c r="H72" s="1">
        <v>1.79</v>
      </c>
      <c r="I72" s="1">
        <v>0.32</v>
      </c>
      <c r="J72" s="1">
        <v>0.73</v>
      </c>
      <c r="K72" s="1">
        <v>3.8</v>
      </c>
      <c r="L72" s="1">
        <v>1.23</v>
      </c>
      <c r="M72" s="1">
        <v>2.46</v>
      </c>
      <c r="N72" s="1">
        <v>630</v>
      </c>
      <c r="O72" s="1">
        <v>1</v>
      </c>
      <c r="R72" s="1">
        <f t="shared" si="4"/>
        <v>-0.3999999999999998</v>
      </c>
      <c r="S72" s="1">
        <f t="shared" si="5"/>
        <v>-0.71936758893280639</v>
      </c>
      <c r="T72" s="1">
        <f t="shared" si="6"/>
        <v>0.2513368983957216</v>
      </c>
      <c r="U72" s="1">
        <f t="shared" si="7"/>
        <v>-0.13402061855670089</v>
      </c>
      <c r="V72" s="1">
        <f t="shared" si="8"/>
        <v>-0.26086956521739135</v>
      </c>
      <c r="W72" s="1">
        <f t="shared" si="9"/>
        <v>-0.37241379310344835</v>
      </c>
      <c r="X72" s="1">
        <f t="shared" si="10"/>
        <v>-0.40506329113924056</v>
      </c>
      <c r="Y72" s="1">
        <f t="shared" si="11"/>
        <v>0.20754716981132071</v>
      </c>
      <c r="Z72" s="1">
        <f t="shared" si="12"/>
        <v>-0.60883280757097791</v>
      </c>
      <c r="AA72" s="1">
        <f t="shared" si="13"/>
        <v>-0.71501706484641636</v>
      </c>
      <c r="AB72" s="1">
        <f t="shared" si="14"/>
        <v>0.5772357723577235</v>
      </c>
      <c r="AC72" s="1">
        <f t="shared" si="15"/>
        <v>-0.29670329670329676</v>
      </c>
      <c r="AD72" s="1">
        <f t="shared" si="16"/>
        <v>-0.89015691868758917</v>
      </c>
      <c r="AE72" s="1">
        <v>1</v>
      </c>
    </row>
    <row r="73" spans="2:31" x14ac:dyDescent="0.2">
      <c r="B73" s="1">
        <v>12.37</v>
      </c>
      <c r="C73" s="1">
        <v>1.1299999999999999</v>
      </c>
      <c r="D73" s="1">
        <v>2.16</v>
      </c>
      <c r="E73" s="1">
        <v>19</v>
      </c>
      <c r="F73" s="1">
        <v>87</v>
      </c>
      <c r="G73" s="1">
        <v>3.5</v>
      </c>
      <c r="H73" s="1">
        <v>3.1</v>
      </c>
      <c r="I73" s="1">
        <v>0.19</v>
      </c>
      <c r="J73" s="1">
        <v>1.87</v>
      </c>
      <c r="K73" s="1">
        <v>4.45</v>
      </c>
      <c r="L73" s="1">
        <v>1.22</v>
      </c>
      <c r="M73" s="1">
        <v>2.87</v>
      </c>
      <c r="N73" s="1">
        <v>420</v>
      </c>
      <c r="O73" s="1">
        <v>1</v>
      </c>
      <c r="R73" s="1">
        <f t="shared" ref="R73:R136" si="32">$Q$3+((B75-B$7)*($Q$4-$Q$3))/(B$8-B$7)</f>
        <v>-0.29473684210526341</v>
      </c>
      <c r="S73" s="1">
        <f t="shared" ref="S73:S136" si="33">$Q$3+((C75-C$7)*($Q$4-$Q$3))/(C$8-C$7)</f>
        <v>-0.81422924901185767</v>
      </c>
      <c r="T73" s="1">
        <f t="shared" ref="T73:T136" si="34">$Q$3+((D75-D$7)*($Q$4-$Q$3))/(D$8-D$7)</f>
        <v>0.28342245989304815</v>
      </c>
      <c r="U73" s="1">
        <f t="shared" ref="U73:U136" si="35">$Q$3+((E75-E$7)*($Q$4-$Q$3))/(E$8-E$7)</f>
        <v>-0.22680412371133996</v>
      </c>
      <c r="V73" s="1">
        <f t="shared" ref="V73:V136" si="36">$Q$3+((F75-F$7)*($Q$4-$Q$3))/(F$8-F$7)</f>
        <v>-0.39130434782608692</v>
      </c>
      <c r="W73" s="1">
        <f t="shared" ref="W73:W136" si="37">$Q$3+((G75-G$7)*($Q$4-$Q$3))/(G$8-G$7)</f>
        <v>-6.8965517241379448E-3</v>
      </c>
      <c r="X73" s="1">
        <f t="shared" ref="X73:X136" si="38">$Q$3+((H75-H$7)*($Q$4-$Q$3))/(H$8-H$7)</f>
        <v>-2.5316455696202556E-2</v>
      </c>
      <c r="Y73" s="1">
        <f t="shared" ref="Y73:Y136" si="39">$Q$3+((I75-I$7)*($Q$4-$Q$3))/(I$8-I$7)</f>
        <v>-9.4339622641509524E-2</v>
      </c>
      <c r="Z73" s="1">
        <f t="shared" ref="Z73:Z136" si="40">$Q$3+((J75-J$7)*($Q$4-$Q$3))/(J$8-J$7)</f>
        <v>5.3627760252366041E-2</v>
      </c>
      <c r="AA73" s="1">
        <f t="shared" ref="AA73:AA136" si="41">$Q$3+((K75-K$7)*($Q$4-$Q$3))/(K$8-K$7)</f>
        <v>-0.43344709897610934</v>
      </c>
      <c r="AB73" s="1">
        <f t="shared" ref="AB73:AB136" si="42">$Q$3+((L75-L$7)*($Q$4-$Q$3))/(L$8-L$7)</f>
        <v>0.15447154471544722</v>
      </c>
      <c r="AC73" s="1">
        <f t="shared" ref="AC73:AC136" si="43">$Q$3+((M75-M$7)*($Q$4-$Q$3))/(M$8-M$7)</f>
        <v>-0.24542124542124555</v>
      </c>
      <c r="AD73" s="1">
        <f t="shared" ref="AD73:AD136" si="44">$Q$3+((N75-N$7)*($Q$4-$Q$3))/(N$8-N$7)</f>
        <v>-0.42938659058487871</v>
      </c>
      <c r="AE73" s="1">
        <v>1</v>
      </c>
    </row>
    <row r="74" spans="2:31" x14ac:dyDescent="0.2">
      <c r="B74" s="1">
        <v>12.17</v>
      </c>
      <c r="C74" s="1">
        <v>1.45</v>
      </c>
      <c r="D74" s="1">
        <v>2.5299999999999998</v>
      </c>
      <c r="E74" s="1">
        <v>19</v>
      </c>
      <c r="F74" s="1">
        <v>104</v>
      </c>
      <c r="G74" s="1">
        <v>1.89</v>
      </c>
      <c r="H74" s="1">
        <v>1.75</v>
      </c>
      <c r="I74" s="1">
        <v>0.45</v>
      </c>
      <c r="J74" s="1">
        <v>1.03</v>
      </c>
      <c r="K74" s="1">
        <v>2.95</v>
      </c>
      <c r="L74" s="1">
        <v>1.45</v>
      </c>
      <c r="M74" s="1">
        <v>2.23</v>
      </c>
      <c r="N74" s="1">
        <v>355</v>
      </c>
      <c r="O74" s="1">
        <v>1</v>
      </c>
      <c r="R74" s="1">
        <f t="shared" si="32"/>
        <v>9.4736842105263008E-2</v>
      </c>
      <c r="S74" s="1">
        <f t="shared" si="33"/>
        <v>-0.89328063241106714</v>
      </c>
      <c r="T74" s="1">
        <f t="shared" si="34"/>
        <v>-0.63636363636363646</v>
      </c>
      <c r="U74" s="1">
        <f t="shared" si="35"/>
        <v>-0.54639175257731953</v>
      </c>
      <c r="V74" s="1">
        <f t="shared" si="36"/>
        <v>-0.82608695652173914</v>
      </c>
      <c r="W74" s="1">
        <f t="shared" si="37"/>
        <v>0.3793103448275863</v>
      </c>
      <c r="X74" s="1">
        <f t="shared" si="38"/>
        <v>0.19831223628691985</v>
      </c>
      <c r="Y74" s="1">
        <f t="shared" si="39"/>
        <v>-0.50943396226415094</v>
      </c>
      <c r="Z74" s="1">
        <f t="shared" si="40"/>
        <v>0.17981072555205047</v>
      </c>
      <c r="AA74" s="1">
        <f t="shared" si="41"/>
        <v>-0.31399317406143357</v>
      </c>
      <c r="AB74" s="1">
        <f t="shared" si="42"/>
        <v>4.0650406504065151E-2</v>
      </c>
      <c r="AC74" s="1">
        <f t="shared" si="43"/>
        <v>0.3992673992673994</v>
      </c>
      <c r="AD74" s="1">
        <f t="shared" si="44"/>
        <v>-0.68045649072753212</v>
      </c>
      <c r="AE74" s="1">
        <v>1</v>
      </c>
    </row>
    <row r="75" spans="2:31" x14ac:dyDescent="0.2">
      <c r="B75" s="1">
        <v>12.37</v>
      </c>
      <c r="C75" s="1">
        <v>1.21</v>
      </c>
      <c r="D75" s="1">
        <v>2.56</v>
      </c>
      <c r="E75" s="1">
        <v>18.100000000000001</v>
      </c>
      <c r="F75" s="1">
        <v>98</v>
      </c>
      <c r="G75" s="1">
        <v>2.42</v>
      </c>
      <c r="H75" s="1">
        <v>2.65</v>
      </c>
      <c r="I75" s="1">
        <v>0.37</v>
      </c>
      <c r="J75" s="1">
        <v>2.08</v>
      </c>
      <c r="K75" s="1">
        <v>4.5999999999999996</v>
      </c>
      <c r="L75" s="1">
        <v>1.19</v>
      </c>
      <c r="M75" s="1">
        <v>2.2999999999999998</v>
      </c>
      <c r="N75" s="1">
        <v>678</v>
      </c>
      <c r="O75" s="1">
        <v>1</v>
      </c>
      <c r="R75" s="1">
        <f t="shared" si="32"/>
        <v>-0.29473684210526341</v>
      </c>
      <c r="S75" s="1">
        <f t="shared" si="33"/>
        <v>-0.83003952569169959</v>
      </c>
      <c r="T75" s="1">
        <f t="shared" si="34"/>
        <v>-0.4010695187165777</v>
      </c>
      <c r="U75" s="1">
        <f t="shared" si="35"/>
        <v>-7.2164948453607991E-2</v>
      </c>
      <c r="V75" s="1">
        <f t="shared" si="36"/>
        <v>-0.82608695652173914</v>
      </c>
      <c r="W75" s="1">
        <f t="shared" si="37"/>
        <v>-0.22068965517241379</v>
      </c>
      <c r="X75" s="1">
        <f t="shared" si="38"/>
        <v>-0.29957805907173007</v>
      </c>
      <c r="Y75" s="1">
        <f t="shared" si="39"/>
        <v>-0.47169811320754718</v>
      </c>
      <c r="Z75" s="1">
        <f t="shared" si="40"/>
        <v>-0.60252365930599361</v>
      </c>
      <c r="AA75" s="1">
        <f t="shared" si="41"/>
        <v>-0.41979522184300355</v>
      </c>
      <c r="AB75" s="1">
        <f t="shared" si="42"/>
        <v>4.0650406504065151E-2</v>
      </c>
      <c r="AC75" s="1">
        <f t="shared" si="43"/>
        <v>0.61904761904761907</v>
      </c>
      <c r="AD75" s="1">
        <f t="shared" si="44"/>
        <v>-0.66904422253922968</v>
      </c>
      <c r="AE75" s="1">
        <v>1</v>
      </c>
    </row>
    <row r="76" spans="2:31" x14ac:dyDescent="0.2">
      <c r="B76" s="1">
        <v>13.11</v>
      </c>
      <c r="C76" s="1">
        <v>1.01</v>
      </c>
      <c r="D76" s="1">
        <v>1.7</v>
      </c>
      <c r="E76" s="1">
        <v>15</v>
      </c>
      <c r="F76" s="1">
        <v>78</v>
      </c>
      <c r="G76" s="1">
        <v>2.98</v>
      </c>
      <c r="H76" s="1">
        <v>3.18</v>
      </c>
      <c r="I76" s="1">
        <v>0.26</v>
      </c>
      <c r="J76" s="1">
        <v>2.2799999999999998</v>
      </c>
      <c r="K76" s="1">
        <v>5.3</v>
      </c>
      <c r="L76" s="1">
        <v>1.1200000000000001</v>
      </c>
      <c r="M76" s="1">
        <v>3.18</v>
      </c>
      <c r="N76" s="1">
        <v>502</v>
      </c>
      <c r="O76" s="1">
        <v>1</v>
      </c>
      <c r="R76" s="1">
        <f t="shared" si="32"/>
        <v>0.21578947368421053</v>
      </c>
      <c r="S76" s="1">
        <f t="shared" si="33"/>
        <v>-0.92094861660079053</v>
      </c>
      <c r="T76" s="1">
        <f t="shared" si="34"/>
        <v>6.9518716577539941E-2</v>
      </c>
      <c r="U76" s="1">
        <f t="shared" si="35"/>
        <v>-0.34020618556701021</v>
      </c>
      <c r="V76" s="1">
        <f t="shared" si="36"/>
        <v>-0.13043478260869568</v>
      </c>
      <c r="W76" s="1">
        <f t="shared" si="37"/>
        <v>6.8965517241379226E-2</v>
      </c>
      <c r="X76" s="1">
        <f t="shared" si="38"/>
        <v>-0.59493670886075956</v>
      </c>
      <c r="Y76" s="1">
        <f t="shared" si="39"/>
        <v>0.58490566037735858</v>
      </c>
      <c r="Z76" s="1">
        <f t="shared" si="40"/>
        <v>-0.99369085173501581</v>
      </c>
      <c r="AA76" s="1">
        <f t="shared" si="41"/>
        <v>-0.6774744027303754</v>
      </c>
      <c r="AB76" s="1">
        <f t="shared" si="42"/>
        <v>-0.12195121951219501</v>
      </c>
      <c r="AC76" s="1">
        <f t="shared" si="43"/>
        <v>-0.51648351648351654</v>
      </c>
      <c r="AD76" s="1">
        <f t="shared" si="44"/>
        <v>-0.32667617689015693</v>
      </c>
      <c r="AE76" s="1">
        <v>1</v>
      </c>
    </row>
    <row r="77" spans="2:31" x14ac:dyDescent="0.2">
      <c r="B77" s="1">
        <v>12.37</v>
      </c>
      <c r="C77" s="1">
        <v>1.17</v>
      </c>
      <c r="D77" s="1">
        <v>1.92</v>
      </c>
      <c r="E77" s="1">
        <v>19.600000000000001</v>
      </c>
      <c r="F77" s="1">
        <v>78</v>
      </c>
      <c r="G77" s="1">
        <v>2.11</v>
      </c>
      <c r="H77" s="1">
        <v>2</v>
      </c>
      <c r="I77" s="1">
        <v>0.27</v>
      </c>
      <c r="J77" s="1">
        <v>1.04</v>
      </c>
      <c r="K77" s="1">
        <v>4.68</v>
      </c>
      <c r="L77" s="1">
        <v>1.1200000000000001</v>
      </c>
      <c r="M77" s="1">
        <v>3.48</v>
      </c>
      <c r="N77" s="1">
        <v>510</v>
      </c>
      <c r="O77" s="1">
        <v>1</v>
      </c>
      <c r="R77" s="1">
        <f t="shared" si="32"/>
        <v>-0.37894736842105192</v>
      </c>
      <c r="S77" s="1">
        <f t="shared" si="33"/>
        <v>-0.82213438735177868</v>
      </c>
      <c r="T77" s="1">
        <f t="shared" si="34"/>
        <v>-0.58288770053475947</v>
      </c>
      <c r="U77" s="1">
        <f t="shared" si="35"/>
        <v>-0.36082474226804107</v>
      </c>
      <c r="V77" s="1">
        <f t="shared" si="36"/>
        <v>0.76086956521739135</v>
      </c>
      <c r="W77" s="1">
        <f t="shared" si="37"/>
        <v>-0.39999999999999991</v>
      </c>
      <c r="X77" s="1">
        <f t="shared" si="38"/>
        <v>-0.6033755274261603</v>
      </c>
      <c r="Y77" s="1">
        <f t="shared" si="39"/>
        <v>-0.96226415094339623</v>
      </c>
      <c r="Z77" s="1">
        <f t="shared" si="40"/>
        <v>0.31861198738170349</v>
      </c>
      <c r="AA77" s="1">
        <f t="shared" si="41"/>
        <v>-0.73208191126279865</v>
      </c>
      <c r="AB77" s="1">
        <f t="shared" si="42"/>
        <v>0.30081300813008149</v>
      </c>
      <c r="AC77" s="1">
        <f t="shared" si="43"/>
        <v>0.31868131868131866</v>
      </c>
      <c r="AD77" s="1">
        <f t="shared" si="44"/>
        <v>-0.37232524964336666</v>
      </c>
      <c r="AE77" s="1">
        <v>1</v>
      </c>
    </row>
    <row r="78" spans="2:31" x14ac:dyDescent="0.2">
      <c r="B78" s="1">
        <v>13.34</v>
      </c>
      <c r="C78" s="1">
        <v>0.94</v>
      </c>
      <c r="D78" s="1">
        <v>2.36</v>
      </c>
      <c r="E78" s="1">
        <v>17</v>
      </c>
      <c r="F78" s="1">
        <v>110</v>
      </c>
      <c r="G78" s="1">
        <v>2.5299999999999998</v>
      </c>
      <c r="H78" s="1">
        <v>1.3</v>
      </c>
      <c r="I78" s="1">
        <v>0.55000000000000004</v>
      </c>
      <c r="J78" s="1">
        <v>0.42</v>
      </c>
      <c r="K78" s="1">
        <v>3.17</v>
      </c>
      <c r="L78" s="1">
        <v>1.02</v>
      </c>
      <c r="M78" s="1">
        <v>1.93</v>
      </c>
      <c r="N78" s="1">
        <v>750</v>
      </c>
      <c r="O78" s="1">
        <v>1</v>
      </c>
      <c r="R78" s="1">
        <f t="shared" si="32"/>
        <v>-0.33684210526315816</v>
      </c>
      <c r="S78" s="1">
        <f t="shared" si="33"/>
        <v>-0.65612648221343872</v>
      </c>
      <c r="T78" s="1">
        <f t="shared" si="34"/>
        <v>-9.090909090909105E-2</v>
      </c>
      <c r="U78" s="1">
        <f t="shared" si="35"/>
        <v>1.0309278350515427E-2</v>
      </c>
      <c r="V78" s="1">
        <f t="shared" si="36"/>
        <v>-0.28260869565217395</v>
      </c>
      <c r="W78" s="1">
        <f t="shared" si="37"/>
        <v>-0.91724137931034477</v>
      </c>
      <c r="X78" s="1">
        <f t="shared" si="38"/>
        <v>-0.71308016877637137</v>
      </c>
      <c r="Y78" s="1">
        <f t="shared" si="39"/>
        <v>-9.4339622641509524E-2</v>
      </c>
      <c r="Z78" s="1">
        <f t="shared" si="40"/>
        <v>-0.33753943217665616</v>
      </c>
      <c r="AA78" s="1">
        <f t="shared" si="41"/>
        <v>-0.69795221843003419</v>
      </c>
      <c r="AB78" s="1">
        <f t="shared" si="42"/>
        <v>-0.30731707317073165</v>
      </c>
      <c r="AC78" s="1">
        <f t="shared" si="43"/>
        <v>-0.59706959706959706</v>
      </c>
      <c r="AD78" s="1">
        <f t="shared" si="44"/>
        <v>-0.15549215406562056</v>
      </c>
      <c r="AE78" s="1">
        <v>1</v>
      </c>
    </row>
    <row r="79" spans="2:31" x14ac:dyDescent="0.2">
      <c r="B79" s="1">
        <v>12.21</v>
      </c>
      <c r="C79" s="1">
        <v>1.19</v>
      </c>
      <c r="D79" s="1">
        <v>1.75</v>
      </c>
      <c r="E79" s="1">
        <v>16.8</v>
      </c>
      <c r="F79" s="1">
        <v>151</v>
      </c>
      <c r="G79" s="1">
        <v>1.85</v>
      </c>
      <c r="H79" s="1">
        <v>1.28</v>
      </c>
      <c r="I79" s="1">
        <v>0.14000000000000001</v>
      </c>
      <c r="J79" s="1">
        <v>2.5</v>
      </c>
      <c r="K79" s="1">
        <v>2.85</v>
      </c>
      <c r="L79" s="1">
        <v>1.28</v>
      </c>
      <c r="M79" s="1">
        <v>3.07</v>
      </c>
      <c r="N79" s="1">
        <v>718</v>
      </c>
      <c r="O79" s="1">
        <v>1</v>
      </c>
      <c r="R79" s="1">
        <f t="shared" si="32"/>
        <v>0.48947368421052606</v>
      </c>
      <c r="S79" s="1">
        <f t="shared" si="33"/>
        <v>-0.69565217391304346</v>
      </c>
      <c r="T79" s="1">
        <f t="shared" si="34"/>
        <v>0.40106951871657737</v>
      </c>
      <c r="U79" s="1">
        <f t="shared" si="35"/>
        <v>0.48453608247422686</v>
      </c>
      <c r="V79" s="1">
        <f t="shared" si="36"/>
        <v>-0.65217391304347827</v>
      </c>
      <c r="W79" s="1">
        <f t="shared" si="37"/>
        <v>0.35862068965517269</v>
      </c>
      <c r="X79" s="1">
        <f t="shared" si="38"/>
        <v>6.3291139240506222E-2</v>
      </c>
      <c r="Y79" s="1">
        <f t="shared" si="39"/>
        <v>-0.69811320754716988</v>
      </c>
      <c r="Z79" s="1">
        <f t="shared" si="40"/>
        <v>-7.8864353312302682E-2</v>
      </c>
      <c r="AA79" s="1">
        <f t="shared" si="41"/>
        <v>-0.64163822525597269</v>
      </c>
      <c r="AB79" s="1">
        <f t="shared" si="42"/>
        <v>0.43089430894308967</v>
      </c>
      <c r="AC79" s="1">
        <f t="shared" si="43"/>
        <v>0.3846153846153848</v>
      </c>
      <c r="AD79" s="1">
        <f t="shared" si="44"/>
        <v>-0.81169757489300998</v>
      </c>
      <c r="AE79" s="1">
        <v>1</v>
      </c>
    </row>
    <row r="80" spans="2:31" x14ac:dyDescent="0.2">
      <c r="B80" s="1">
        <v>12.29</v>
      </c>
      <c r="C80" s="1">
        <v>1.61</v>
      </c>
      <c r="D80" s="1">
        <v>2.21</v>
      </c>
      <c r="E80" s="1">
        <v>20.399999999999999</v>
      </c>
      <c r="F80" s="1">
        <v>103</v>
      </c>
      <c r="G80" s="1">
        <v>1.1000000000000001</v>
      </c>
      <c r="H80" s="1">
        <v>1.02</v>
      </c>
      <c r="I80" s="1">
        <v>0.37</v>
      </c>
      <c r="J80" s="1">
        <v>1.46</v>
      </c>
      <c r="K80" s="1">
        <v>3.05</v>
      </c>
      <c r="L80" s="1">
        <v>0.90600000000000003</v>
      </c>
      <c r="M80" s="1">
        <v>1.82</v>
      </c>
      <c r="N80" s="1">
        <v>870</v>
      </c>
      <c r="O80" s="1">
        <v>1</v>
      </c>
      <c r="R80" s="1">
        <f t="shared" si="32"/>
        <v>0.29473684210526341</v>
      </c>
      <c r="S80" s="1">
        <f t="shared" si="33"/>
        <v>-0.63636363636363635</v>
      </c>
      <c r="T80" s="1">
        <f t="shared" si="34"/>
        <v>-5.8823529411764497E-2</v>
      </c>
      <c r="U80" s="1">
        <f t="shared" si="35"/>
        <v>0.38144329896907236</v>
      </c>
      <c r="V80" s="1">
        <f t="shared" si="36"/>
        <v>-0.63043478260869568</v>
      </c>
      <c r="W80" s="1">
        <f t="shared" si="37"/>
        <v>-0.3793103448275863</v>
      </c>
      <c r="X80" s="1">
        <f t="shared" si="38"/>
        <v>-0.36708860759493678</v>
      </c>
      <c r="Y80" s="1">
        <f t="shared" si="39"/>
        <v>-0.47169811320754718</v>
      </c>
      <c r="Z80" s="1">
        <f t="shared" si="40"/>
        <v>-0.60883280757097791</v>
      </c>
      <c r="AA80" s="1">
        <f t="shared" si="41"/>
        <v>-0.58020477815699656</v>
      </c>
      <c r="AB80" s="1">
        <f t="shared" si="42"/>
        <v>-0.18699186991869921</v>
      </c>
      <c r="AC80" s="1">
        <f t="shared" si="43"/>
        <v>0.10622710622710607</v>
      </c>
      <c r="AD80" s="1">
        <f t="shared" si="44"/>
        <v>-0.72325249643366618</v>
      </c>
      <c r="AE80" s="1">
        <v>1</v>
      </c>
    </row>
    <row r="81" spans="2:31" x14ac:dyDescent="0.2">
      <c r="B81" s="1">
        <v>13.86</v>
      </c>
      <c r="C81" s="1">
        <v>1.51</v>
      </c>
      <c r="D81" s="1">
        <v>2.67</v>
      </c>
      <c r="E81" s="1">
        <v>25</v>
      </c>
      <c r="F81" s="1">
        <v>86</v>
      </c>
      <c r="G81" s="1">
        <v>2.95</v>
      </c>
      <c r="H81" s="1">
        <v>2.86</v>
      </c>
      <c r="I81" s="1">
        <v>0.21</v>
      </c>
      <c r="J81" s="1">
        <v>1.87</v>
      </c>
      <c r="K81" s="1">
        <v>3.38</v>
      </c>
      <c r="L81" s="1">
        <v>1.36</v>
      </c>
      <c r="M81" s="1">
        <v>3.16</v>
      </c>
      <c r="N81" s="1">
        <v>410</v>
      </c>
      <c r="O81" s="1">
        <v>1</v>
      </c>
      <c r="R81" s="1">
        <f t="shared" si="32"/>
        <v>3.1578947368421373E-2</v>
      </c>
      <c r="S81" s="1">
        <f t="shared" si="33"/>
        <v>-0.6324110671936759</v>
      </c>
      <c r="T81" s="1">
        <f t="shared" si="34"/>
        <v>0.3262032085561497</v>
      </c>
      <c r="U81" s="1">
        <f t="shared" si="35"/>
        <v>1</v>
      </c>
      <c r="V81" s="1">
        <f t="shared" si="36"/>
        <v>0.5</v>
      </c>
      <c r="W81" s="1">
        <f t="shared" si="37"/>
        <v>0.59999999999999987</v>
      </c>
      <c r="X81" s="1">
        <f t="shared" si="38"/>
        <v>7.5949367088607556E-2</v>
      </c>
      <c r="Y81" s="1">
        <f t="shared" si="39"/>
        <v>-0.69811320754716988</v>
      </c>
      <c r="Z81" s="1">
        <f t="shared" si="40"/>
        <v>-2.2082018927444769E-2</v>
      </c>
      <c r="AA81" s="1">
        <f t="shared" si="41"/>
        <v>-0.64675767918088733</v>
      </c>
      <c r="AB81" s="1">
        <f t="shared" si="42"/>
        <v>0.34959349593495959</v>
      </c>
      <c r="AC81" s="1">
        <f t="shared" si="43"/>
        <v>0.63369963369963367</v>
      </c>
      <c r="AD81" s="1">
        <f t="shared" si="44"/>
        <v>8.5592011412267688E-3</v>
      </c>
      <c r="AE81" s="1">
        <v>1</v>
      </c>
    </row>
    <row r="82" spans="2:31" x14ac:dyDescent="0.2">
      <c r="B82" s="1">
        <v>13.49</v>
      </c>
      <c r="C82" s="1">
        <v>1.66</v>
      </c>
      <c r="D82" s="1">
        <v>2.2400000000000002</v>
      </c>
      <c r="E82" s="1">
        <v>24</v>
      </c>
      <c r="F82" s="1">
        <v>87</v>
      </c>
      <c r="G82" s="1">
        <v>1.88</v>
      </c>
      <c r="H82" s="1">
        <v>1.84</v>
      </c>
      <c r="I82" s="1">
        <v>0.27</v>
      </c>
      <c r="J82" s="1">
        <v>1.03</v>
      </c>
      <c r="K82" s="1">
        <v>3.74</v>
      </c>
      <c r="L82" s="1">
        <v>0.98</v>
      </c>
      <c r="M82" s="1">
        <v>2.78</v>
      </c>
      <c r="N82" s="1">
        <v>472</v>
      </c>
      <c r="O82" s="1">
        <v>1</v>
      </c>
      <c r="R82" s="1">
        <f t="shared" si="32"/>
        <v>-0.51052631578947305</v>
      </c>
      <c r="S82" s="1">
        <f t="shared" si="33"/>
        <v>-0.86166007905138331</v>
      </c>
      <c r="T82" s="1">
        <f t="shared" si="34"/>
        <v>5.3475935828874999E-3</v>
      </c>
      <c r="U82" s="1">
        <f t="shared" si="35"/>
        <v>7.2164948453608435E-2</v>
      </c>
      <c r="V82" s="1">
        <f t="shared" si="36"/>
        <v>-0.32608695652173914</v>
      </c>
      <c r="W82" s="1">
        <f t="shared" si="37"/>
        <v>0.65517241379310343</v>
      </c>
      <c r="X82" s="1">
        <f t="shared" si="38"/>
        <v>-0.24050632911392411</v>
      </c>
      <c r="Y82" s="1">
        <f t="shared" si="39"/>
        <v>-1</v>
      </c>
      <c r="Z82" s="1">
        <f t="shared" si="40"/>
        <v>-0.21766561514195581</v>
      </c>
      <c r="AA82" s="1">
        <f t="shared" si="41"/>
        <v>-0.67064846416382262</v>
      </c>
      <c r="AB82" s="1">
        <f t="shared" si="42"/>
        <v>-0.1707317073170731</v>
      </c>
      <c r="AC82" s="1">
        <f t="shared" si="43"/>
        <v>0.36263736263736246</v>
      </c>
      <c r="AD82" s="1">
        <f t="shared" si="44"/>
        <v>-0.13266761768901569</v>
      </c>
      <c r="AE82" s="1">
        <v>1</v>
      </c>
    </row>
    <row r="83" spans="2:31" x14ac:dyDescent="0.2">
      <c r="B83" s="1">
        <v>12.99</v>
      </c>
      <c r="C83" s="1">
        <v>1.67</v>
      </c>
      <c r="D83" s="1">
        <v>2.6</v>
      </c>
      <c r="E83" s="1">
        <v>30</v>
      </c>
      <c r="F83" s="1">
        <v>139</v>
      </c>
      <c r="G83" s="1">
        <v>3.3</v>
      </c>
      <c r="H83" s="1">
        <v>2.89</v>
      </c>
      <c r="I83" s="1">
        <v>0.21</v>
      </c>
      <c r="J83" s="1">
        <v>1.96</v>
      </c>
      <c r="K83" s="1">
        <v>3.35</v>
      </c>
      <c r="L83" s="1">
        <v>1.31</v>
      </c>
      <c r="M83" s="1">
        <v>3.5</v>
      </c>
      <c r="N83" s="1">
        <v>985</v>
      </c>
      <c r="O83" s="1">
        <v>1</v>
      </c>
      <c r="R83" s="1">
        <f t="shared" si="32"/>
        <v>-0.66842105263157858</v>
      </c>
      <c r="S83" s="1">
        <f t="shared" si="33"/>
        <v>-0.54940711462450587</v>
      </c>
      <c r="T83" s="1">
        <f t="shared" si="34"/>
        <v>-0.4010695187165777</v>
      </c>
      <c r="U83" s="1">
        <f t="shared" si="35"/>
        <v>-0.44329896907216482</v>
      </c>
      <c r="V83" s="1">
        <f t="shared" si="36"/>
        <v>-0.41304347826086951</v>
      </c>
      <c r="W83" s="1">
        <f t="shared" si="37"/>
        <v>-0.56551724137931025</v>
      </c>
      <c r="X83" s="1">
        <f t="shared" si="38"/>
        <v>-0.48101265822784811</v>
      </c>
      <c r="Y83" s="1">
        <f t="shared" si="39"/>
        <v>-0.20754716981132071</v>
      </c>
      <c r="Z83" s="1">
        <f t="shared" si="40"/>
        <v>-0.53312302839116721</v>
      </c>
      <c r="AA83" s="1">
        <f t="shared" si="41"/>
        <v>-0.56996587030716728</v>
      </c>
      <c r="AB83" s="1">
        <f t="shared" si="42"/>
        <v>0.21951219512195119</v>
      </c>
      <c r="AC83" s="1">
        <f t="shared" si="43"/>
        <v>-0.36263736263736257</v>
      </c>
      <c r="AD83" s="1">
        <f t="shared" si="44"/>
        <v>-0.78601997146932956</v>
      </c>
      <c r="AE83" s="1">
        <v>1</v>
      </c>
    </row>
    <row r="84" spans="2:31" x14ac:dyDescent="0.2">
      <c r="B84" s="1">
        <v>11.96</v>
      </c>
      <c r="C84" s="1">
        <v>1.0900000000000001</v>
      </c>
      <c r="D84" s="1">
        <v>2.2999999999999998</v>
      </c>
      <c r="E84" s="1">
        <v>21</v>
      </c>
      <c r="F84" s="1">
        <v>101</v>
      </c>
      <c r="G84" s="1">
        <v>3.38</v>
      </c>
      <c r="H84" s="1">
        <v>2.14</v>
      </c>
      <c r="I84" s="1">
        <v>0.13</v>
      </c>
      <c r="J84" s="1">
        <v>1.65</v>
      </c>
      <c r="K84" s="1">
        <v>3.21</v>
      </c>
      <c r="L84" s="1">
        <v>0.99</v>
      </c>
      <c r="M84" s="1">
        <v>3.13</v>
      </c>
      <c r="N84" s="1">
        <v>886</v>
      </c>
      <c r="O84" s="1">
        <v>1</v>
      </c>
      <c r="R84" s="1">
        <f t="shared" si="32"/>
        <v>5.2631578947368141E-2</v>
      </c>
      <c r="S84" s="1">
        <f t="shared" si="33"/>
        <v>-0.93675889328063233</v>
      </c>
      <c r="T84" s="1">
        <f t="shared" si="34"/>
        <v>-0.62566844919786102</v>
      </c>
      <c r="U84" s="1">
        <f t="shared" si="35"/>
        <v>-0.44329896907216482</v>
      </c>
      <c r="V84" s="1">
        <f t="shared" si="36"/>
        <v>-0.65217391304347827</v>
      </c>
      <c r="W84" s="1">
        <f t="shared" si="37"/>
        <v>-0.33103448275862069</v>
      </c>
      <c r="X84" s="1">
        <f t="shared" si="38"/>
        <v>-0.28691983122362885</v>
      </c>
      <c r="Y84" s="1">
        <f t="shared" si="39"/>
        <v>-0.58490566037735858</v>
      </c>
      <c r="Z84" s="1">
        <f t="shared" si="40"/>
        <v>-0.33753943217665616</v>
      </c>
      <c r="AA84" s="1">
        <f t="shared" si="41"/>
        <v>-0.43344709897610934</v>
      </c>
      <c r="AB84" s="1">
        <f t="shared" si="42"/>
        <v>0.15447154471544722</v>
      </c>
      <c r="AC84" s="1">
        <f t="shared" si="43"/>
        <v>-0.11355311355311359</v>
      </c>
      <c r="AD84" s="1">
        <f t="shared" si="44"/>
        <v>-0.8373751783166905</v>
      </c>
      <c r="AE84" s="1">
        <v>1</v>
      </c>
    </row>
    <row r="85" spans="2:31" x14ac:dyDescent="0.2">
      <c r="B85" s="1">
        <v>11.66</v>
      </c>
      <c r="C85" s="1">
        <v>1.88</v>
      </c>
      <c r="D85" s="1">
        <v>1.92</v>
      </c>
      <c r="E85" s="1">
        <v>16</v>
      </c>
      <c r="F85" s="1">
        <v>97</v>
      </c>
      <c r="G85" s="1">
        <v>1.61</v>
      </c>
      <c r="H85" s="1">
        <v>1.57</v>
      </c>
      <c r="I85" s="1">
        <v>0.34</v>
      </c>
      <c r="J85" s="1">
        <v>1.1499999999999999</v>
      </c>
      <c r="K85" s="1">
        <v>3.8</v>
      </c>
      <c r="L85" s="1">
        <v>1.23</v>
      </c>
      <c r="M85" s="1">
        <v>2.14</v>
      </c>
      <c r="N85" s="1">
        <v>428</v>
      </c>
      <c r="O85" s="1">
        <v>1</v>
      </c>
      <c r="R85" s="1">
        <f t="shared" si="32"/>
        <v>-0.57368421052631557</v>
      </c>
      <c r="S85" s="1">
        <f t="shared" si="33"/>
        <v>-0.15019762845849782</v>
      </c>
      <c r="T85" s="1">
        <f t="shared" si="34"/>
        <v>-6.9518716577540163E-2</v>
      </c>
      <c r="U85" s="1">
        <f t="shared" si="35"/>
        <v>-0.2371134020618556</v>
      </c>
      <c r="V85" s="1">
        <f t="shared" si="36"/>
        <v>-8.6956521739130488E-2</v>
      </c>
      <c r="W85" s="1">
        <f t="shared" si="37"/>
        <v>-0.48965517241379308</v>
      </c>
      <c r="X85" s="1">
        <f t="shared" si="38"/>
        <v>-0.58649789029535859</v>
      </c>
      <c r="Y85" s="1">
        <f t="shared" si="39"/>
        <v>0.13207547169811318</v>
      </c>
      <c r="Z85" s="1">
        <f t="shared" si="40"/>
        <v>-0.65930599369085163</v>
      </c>
      <c r="AA85" s="1">
        <f t="shared" si="41"/>
        <v>-0.7662116040955631</v>
      </c>
      <c r="AB85" s="1">
        <f t="shared" si="42"/>
        <v>-0.21951219512195119</v>
      </c>
      <c r="AC85" s="1">
        <f t="shared" si="43"/>
        <v>-8.4249084249084283E-2</v>
      </c>
      <c r="AD85" s="1">
        <f t="shared" si="44"/>
        <v>-0.68330955777460778</v>
      </c>
      <c r="AE85" s="1">
        <v>1</v>
      </c>
    </row>
    <row r="86" spans="2:31" x14ac:dyDescent="0.2">
      <c r="B86" s="1">
        <v>13.03</v>
      </c>
      <c r="C86" s="1">
        <v>0.9</v>
      </c>
      <c r="D86" s="1">
        <v>1.71</v>
      </c>
      <c r="E86" s="1">
        <v>16</v>
      </c>
      <c r="F86" s="1">
        <v>86</v>
      </c>
      <c r="G86" s="1">
        <v>1.95</v>
      </c>
      <c r="H86" s="1">
        <v>2.0299999999999998</v>
      </c>
      <c r="I86" s="1">
        <v>0.24</v>
      </c>
      <c r="J86" s="1">
        <v>1.46</v>
      </c>
      <c r="K86" s="1">
        <v>4.5999999999999996</v>
      </c>
      <c r="L86" s="1">
        <v>1.19</v>
      </c>
      <c r="M86" s="1">
        <v>2.48</v>
      </c>
      <c r="N86" s="1">
        <v>392</v>
      </c>
      <c r="O86" s="1">
        <v>1</v>
      </c>
      <c r="R86" s="1">
        <f t="shared" si="32"/>
        <v>-0.31578947368421029</v>
      </c>
      <c r="S86" s="1">
        <f t="shared" si="33"/>
        <v>-0.90118577075098816</v>
      </c>
      <c r="T86" s="1">
        <f t="shared" si="34"/>
        <v>-0.36898395721925148</v>
      </c>
      <c r="U86" s="1">
        <f t="shared" si="35"/>
        <v>-0.56701030927835039</v>
      </c>
      <c r="V86" s="1">
        <f t="shared" si="36"/>
        <v>0.43478260869565211</v>
      </c>
      <c r="W86" s="1">
        <f t="shared" si="37"/>
        <v>-0.36551724137931041</v>
      </c>
      <c r="X86" s="1">
        <f t="shared" si="38"/>
        <v>-0.3628691983122363</v>
      </c>
      <c r="Y86" s="1">
        <f t="shared" si="39"/>
        <v>-0.16981132075471717</v>
      </c>
      <c r="Z86" s="1">
        <f t="shared" si="40"/>
        <v>0.48264984227129326</v>
      </c>
      <c r="AA86" s="1">
        <f t="shared" si="41"/>
        <v>-0.63822525597269619</v>
      </c>
      <c r="AB86" s="1">
        <f t="shared" si="42"/>
        <v>-5.6910569105690922E-2</v>
      </c>
      <c r="AC86" s="1">
        <f t="shared" si="43"/>
        <v>-0.23809523809523803</v>
      </c>
      <c r="AD86" s="1">
        <f t="shared" si="44"/>
        <v>-0.32667617689015693</v>
      </c>
      <c r="AE86" s="1">
        <v>1</v>
      </c>
    </row>
    <row r="87" spans="2:31" x14ac:dyDescent="0.2">
      <c r="B87" s="1">
        <v>11.84</v>
      </c>
      <c r="C87" s="1">
        <v>2.89</v>
      </c>
      <c r="D87" s="1">
        <v>2.23</v>
      </c>
      <c r="E87" s="1">
        <v>18</v>
      </c>
      <c r="F87" s="1">
        <v>112</v>
      </c>
      <c r="G87" s="1">
        <v>1.72</v>
      </c>
      <c r="H87" s="1">
        <v>1.32</v>
      </c>
      <c r="I87" s="1">
        <v>0.43</v>
      </c>
      <c r="J87" s="1">
        <v>0.95</v>
      </c>
      <c r="K87" s="1">
        <v>2.65</v>
      </c>
      <c r="L87" s="1">
        <v>0.96</v>
      </c>
      <c r="M87" s="1">
        <v>2.52</v>
      </c>
      <c r="N87" s="1">
        <v>500</v>
      </c>
      <c r="O87" s="1">
        <v>1</v>
      </c>
      <c r="R87" s="1">
        <f t="shared" si="32"/>
        <v>-0.12105263157894752</v>
      </c>
      <c r="S87" s="1">
        <f t="shared" si="33"/>
        <v>0.23715415019762842</v>
      </c>
      <c r="T87" s="1">
        <f t="shared" si="34"/>
        <v>0.11229946524064149</v>
      </c>
      <c r="U87" s="1">
        <f t="shared" si="35"/>
        <v>0.27835051546391765</v>
      </c>
      <c r="V87" s="1">
        <f t="shared" si="36"/>
        <v>-0.32608695652173914</v>
      </c>
      <c r="W87" s="1">
        <f t="shared" si="37"/>
        <v>0.27586206896551735</v>
      </c>
      <c r="X87" s="1">
        <f t="shared" si="38"/>
        <v>-6.7510548523206815E-2</v>
      </c>
      <c r="Y87" s="1">
        <f t="shared" si="39"/>
        <v>0.13207547169811318</v>
      </c>
      <c r="Z87" s="1">
        <f t="shared" si="40"/>
        <v>-2.8391167192428957E-2</v>
      </c>
      <c r="AA87" s="1">
        <f t="shared" si="41"/>
        <v>-0.779863481228669</v>
      </c>
      <c r="AB87" s="1">
        <f t="shared" si="42"/>
        <v>0.15447154471544722</v>
      </c>
      <c r="AC87" s="1">
        <f t="shared" si="43"/>
        <v>0.36263736263736246</v>
      </c>
      <c r="AD87" s="1">
        <f t="shared" si="44"/>
        <v>-0.73609129814550645</v>
      </c>
      <c r="AE87" s="1">
        <v>1</v>
      </c>
    </row>
    <row r="88" spans="2:31" x14ac:dyDescent="0.2">
      <c r="B88" s="1">
        <v>12.33</v>
      </c>
      <c r="C88" s="1">
        <v>0.99</v>
      </c>
      <c r="D88" s="1">
        <v>1.95</v>
      </c>
      <c r="E88" s="1">
        <v>14.8</v>
      </c>
      <c r="F88" s="1">
        <v>136</v>
      </c>
      <c r="G88" s="1">
        <v>1.9</v>
      </c>
      <c r="H88" s="1">
        <v>1.85</v>
      </c>
      <c r="I88" s="1">
        <v>0.35</v>
      </c>
      <c r="J88" s="1">
        <v>2.76</v>
      </c>
      <c r="K88" s="1">
        <v>3.4</v>
      </c>
      <c r="L88" s="1">
        <v>1.06</v>
      </c>
      <c r="M88" s="1">
        <v>2.31</v>
      </c>
      <c r="N88" s="1">
        <v>750</v>
      </c>
      <c r="O88" s="1">
        <v>1</v>
      </c>
      <c r="R88" s="1">
        <f t="shared" si="32"/>
        <v>-0.48947368421052606</v>
      </c>
      <c r="S88" s="1">
        <f t="shared" si="33"/>
        <v>-0.92885375494071143</v>
      </c>
      <c r="T88" s="1">
        <f t="shared" si="34"/>
        <v>-0.31550802139037437</v>
      </c>
      <c r="U88" s="1">
        <f t="shared" si="35"/>
        <v>-0.13402061855670089</v>
      </c>
      <c r="V88" s="1">
        <f t="shared" si="36"/>
        <v>-0.65217391304347827</v>
      </c>
      <c r="W88" s="1">
        <f t="shared" si="37"/>
        <v>-6.8965517241379448E-3</v>
      </c>
      <c r="X88" s="1">
        <f t="shared" si="38"/>
        <v>-0.18987341772151911</v>
      </c>
      <c r="Y88" s="1">
        <f t="shared" si="39"/>
        <v>-0.35849056603773599</v>
      </c>
      <c r="Z88" s="1">
        <f t="shared" si="40"/>
        <v>-0.35646687697160884</v>
      </c>
      <c r="AA88" s="1">
        <f t="shared" si="41"/>
        <v>-0.79180887372013653</v>
      </c>
      <c r="AB88" s="1">
        <f t="shared" si="42"/>
        <v>0.46341463414634143</v>
      </c>
      <c r="AC88" s="1">
        <f t="shared" si="43"/>
        <v>0.35531135531135538</v>
      </c>
      <c r="AD88" s="1">
        <f t="shared" si="44"/>
        <v>-1</v>
      </c>
      <c r="AE88" s="1">
        <v>1</v>
      </c>
    </row>
    <row r="89" spans="2:31" x14ac:dyDescent="0.2">
      <c r="B89" s="1">
        <v>12.7</v>
      </c>
      <c r="C89" s="1">
        <v>3.87</v>
      </c>
      <c r="D89" s="1">
        <v>2.4</v>
      </c>
      <c r="E89" s="1">
        <v>23</v>
      </c>
      <c r="F89" s="1">
        <v>101</v>
      </c>
      <c r="G89" s="1">
        <v>2.83</v>
      </c>
      <c r="H89" s="1">
        <v>2.5499999999999998</v>
      </c>
      <c r="I89" s="1">
        <v>0.43</v>
      </c>
      <c r="J89" s="1">
        <v>1.95</v>
      </c>
      <c r="K89" s="1">
        <v>2.57</v>
      </c>
      <c r="L89" s="1">
        <v>1.19</v>
      </c>
      <c r="M89" s="1">
        <v>3.13</v>
      </c>
      <c r="N89" s="1">
        <v>463</v>
      </c>
      <c r="O89" s="1">
        <v>1</v>
      </c>
      <c r="R89" s="1">
        <f t="shared" si="32"/>
        <v>-0.11052631578947314</v>
      </c>
      <c r="S89" s="1">
        <f t="shared" si="33"/>
        <v>-0.57707509881422925</v>
      </c>
      <c r="T89" s="1">
        <f t="shared" si="34"/>
        <v>-0.10160427807486616</v>
      </c>
      <c r="U89" s="1">
        <f t="shared" si="35"/>
        <v>-0.15463917525773174</v>
      </c>
      <c r="V89" s="1">
        <f t="shared" si="36"/>
        <v>-0.65217391304347827</v>
      </c>
      <c r="W89" s="1">
        <f t="shared" si="37"/>
        <v>-0.15862068965517229</v>
      </c>
      <c r="X89" s="1">
        <f t="shared" si="38"/>
        <v>-7.5949367088607667E-2</v>
      </c>
      <c r="Y89" s="1">
        <f t="shared" si="39"/>
        <v>-0.50943396226415094</v>
      </c>
      <c r="Z89" s="1">
        <f t="shared" si="40"/>
        <v>-0.141955835962145</v>
      </c>
      <c r="AA89" s="1">
        <f t="shared" si="41"/>
        <v>-0.55290102389078499</v>
      </c>
      <c r="AB89" s="1">
        <f t="shared" si="42"/>
        <v>0.10569105691056913</v>
      </c>
      <c r="AC89" s="1">
        <f t="shared" si="43"/>
        <v>0.36996336996336998</v>
      </c>
      <c r="AD89" s="1">
        <f t="shared" si="44"/>
        <v>-0.37803138373751788</v>
      </c>
      <c r="AE89" s="1">
        <v>1</v>
      </c>
    </row>
    <row r="90" spans="2:31" x14ac:dyDescent="0.2">
      <c r="B90" s="1">
        <v>12</v>
      </c>
      <c r="C90" s="1">
        <v>0.92</v>
      </c>
      <c r="D90" s="1">
        <v>2</v>
      </c>
      <c r="E90" s="1">
        <v>19</v>
      </c>
      <c r="F90" s="1">
        <v>86</v>
      </c>
      <c r="G90" s="1">
        <v>2.42</v>
      </c>
      <c r="H90" s="1">
        <v>2.2599999999999998</v>
      </c>
      <c r="I90" s="1">
        <v>0.3</v>
      </c>
      <c r="J90" s="1">
        <v>1.43</v>
      </c>
      <c r="K90" s="1">
        <v>2.5</v>
      </c>
      <c r="L90" s="1">
        <v>1.38</v>
      </c>
      <c r="M90" s="1">
        <v>3.12</v>
      </c>
      <c r="N90" s="1">
        <v>278</v>
      </c>
      <c r="O90" s="1">
        <v>1</v>
      </c>
      <c r="R90" s="1">
        <f t="shared" si="32"/>
        <v>-0.4473684210526313</v>
      </c>
      <c r="S90" s="1">
        <f t="shared" si="33"/>
        <v>-0.8458498023715415</v>
      </c>
      <c r="T90" s="1">
        <f t="shared" si="34"/>
        <v>0.22994652406417093</v>
      </c>
      <c r="U90" s="1">
        <f t="shared" si="35"/>
        <v>0.38144329896907236</v>
      </c>
      <c r="V90" s="1">
        <f t="shared" si="36"/>
        <v>-0.82608695652173914</v>
      </c>
      <c r="W90" s="1">
        <f t="shared" si="37"/>
        <v>-0.29655172413793096</v>
      </c>
      <c r="X90" s="1">
        <f t="shared" si="38"/>
        <v>-0.47679324894514774</v>
      </c>
      <c r="Y90" s="1">
        <f t="shared" si="39"/>
        <v>1.8867924528301883E-2</v>
      </c>
      <c r="Z90" s="1">
        <f t="shared" si="40"/>
        <v>-0.37539432176656151</v>
      </c>
      <c r="AA90" s="1">
        <f t="shared" si="41"/>
        <v>-0.84300341296928327</v>
      </c>
      <c r="AB90" s="1">
        <f t="shared" si="42"/>
        <v>0.34959349593495959</v>
      </c>
      <c r="AC90" s="1">
        <f t="shared" si="43"/>
        <v>6.2271062271062494E-2</v>
      </c>
      <c r="AD90" s="1">
        <f t="shared" si="44"/>
        <v>-0.49786019971469331</v>
      </c>
      <c r="AE90" s="1">
        <v>1</v>
      </c>
    </row>
    <row r="91" spans="2:31" x14ac:dyDescent="0.2">
      <c r="B91" s="1">
        <v>12.72</v>
      </c>
      <c r="C91" s="1">
        <v>1.81</v>
      </c>
      <c r="D91" s="1">
        <v>2.2000000000000002</v>
      </c>
      <c r="E91" s="1">
        <v>18.8</v>
      </c>
      <c r="F91" s="1">
        <v>86</v>
      </c>
      <c r="G91" s="1">
        <v>2.2000000000000002</v>
      </c>
      <c r="H91" s="1">
        <v>2.5299999999999998</v>
      </c>
      <c r="I91" s="1">
        <v>0.26</v>
      </c>
      <c r="J91" s="1">
        <v>1.77</v>
      </c>
      <c r="K91" s="1">
        <v>3.9</v>
      </c>
      <c r="L91" s="1">
        <v>1.1599999999999999</v>
      </c>
      <c r="M91" s="1">
        <v>3.14</v>
      </c>
      <c r="N91" s="1">
        <v>714</v>
      </c>
      <c r="O91" s="1">
        <v>1</v>
      </c>
      <c r="R91" s="1">
        <f t="shared" si="32"/>
        <v>6.3157894736842524E-2</v>
      </c>
      <c r="S91" s="1">
        <f t="shared" si="33"/>
        <v>0.23320158102766819</v>
      </c>
      <c r="T91" s="1">
        <f t="shared" si="34"/>
        <v>2.6737967914438387E-2</v>
      </c>
      <c r="U91" s="1">
        <f t="shared" si="35"/>
        <v>0.22680412371134029</v>
      </c>
      <c r="V91" s="1">
        <f t="shared" si="36"/>
        <v>-0.67391304347826086</v>
      </c>
      <c r="W91" s="1">
        <f t="shared" si="37"/>
        <v>-0.53793103448275859</v>
      </c>
      <c r="X91" s="1">
        <f t="shared" si="38"/>
        <v>-0.47257383966244726</v>
      </c>
      <c r="Y91" s="1">
        <f t="shared" si="39"/>
        <v>0.81132075471698095</v>
      </c>
      <c r="Z91" s="1">
        <f t="shared" si="40"/>
        <v>-0.23659305993690838</v>
      </c>
      <c r="AA91" s="1">
        <f t="shared" si="41"/>
        <v>-0.39931740614334477</v>
      </c>
      <c r="AB91" s="1">
        <f t="shared" si="42"/>
        <v>-0.41463414634146345</v>
      </c>
      <c r="AC91" s="1">
        <f t="shared" si="43"/>
        <v>-0.45787545787545803</v>
      </c>
      <c r="AD91" s="1">
        <f t="shared" si="44"/>
        <v>-0.66191155492154063</v>
      </c>
      <c r="AE91" s="1">
        <v>1</v>
      </c>
    </row>
    <row r="92" spans="2:31" x14ac:dyDescent="0.2">
      <c r="B92" s="1">
        <v>12.08</v>
      </c>
      <c r="C92" s="1">
        <v>1.1299999999999999</v>
      </c>
      <c r="D92" s="1">
        <v>2.5099999999999998</v>
      </c>
      <c r="E92" s="1">
        <v>24</v>
      </c>
      <c r="F92" s="1">
        <v>78</v>
      </c>
      <c r="G92" s="1">
        <v>2</v>
      </c>
      <c r="H92" s="1">
        <v>1.58</v>
      </c>
      <c r="I92" s="1">
        <v>0.4</v>
      </c>
      <c r="J92" s="1">
        <v>1.4</v>
      </c>
      <c r="K92" s="1">
        <v>2.2000000000000002</v>
      </c>
      <c r="L92" s="1">
        <v>1.31</v>
      </c>
      <c r="M92" s="1">
        <v>2.72</v>
      </c>
      <c r="N92" s="1">
        <v>630</v>
      </c>
      <c r="O92" s="1">
        <v>1</v>
      </c>
      <c r="R92" s="1">
        <f t="shared" si="32"/>
        <v>-0.57368421052631557</v>
      </c>
      <c r="S92" s="1">
        <f t="shared" si="33"/>
        <v>-0.94071146245059289</v>
      </c>
      <c r="T92" s="1">
        <f t="shared" si="34"/>
        <v>0.30481283422459904</v>
      </c>
      <c r="U92" s="1">
        <f t="shared" si="35"/>
        <v>-0.2371134020618556</v>
      </c>
      <c r="V92" s="1">
        <f t="shared" si="36"/>
        <v>-0.47826086956521741</v>
      </c>
      <c r="W92" s="1">
        <f t="shared" si="37"/>
        <v>-0.15862068965517229</v>
      </c>
      <c r="X92" s="1">
        <f t="shared" si="38"/>
        <v>-0.21097046413502119</v>
      </c>
      <c r="Y92" s="1">
        <f t="shared" si="39"/>
        <v>-0.66037735849056611</v>
      </c>
      <c r="Z92" s="1">
        <f t="shared" si="40"/>
        <v>0.22397476340694022</v>
      </c>
      <c r="AA92" s="1">
        <f t="shared" si="41"/>
        <v>-0.69795221843003419</v>
      </c>
      <c r="AB92" s="1">
        <f t="shared" si="42"/>
        <v>-0.49593495934959342</v>
      </c>
      <c r="AC92" s="1">
        <f t="shared" si="43"/>
        <v>0.32600732600732596</v>
      </c>
      <c r="AD92" s="1">
        <f t="shared" si="44"/>
        <v>-0.65477888730385159</v>
      </c>
      <c r="AE92" s="1">
        <v>1</v>
      </c>
    </row>
    <row r="93" spans="2:31" x14ac:dyDescent="0.2">
      <c r="B93" s="1">
        <v>13.05</v>
      </c>
      <c r="C93" s="1">
        <v>3.86</v>
      </c>
      <c r="D93" s="1">
        <v>2.3199999999999998</v>
      </c>
      <c r="E93" s="1">
        <v>22.5</v>
      </c>
      <c r="F93" s="1">
        <v>85</v>
      </c>
      <c r="G93" s="1">
        <v>1.65</v>
      </c>
      <c r="H93" s="1">
        <v>1.59</v>
      </c>
      <c r="I93" s="1">
        <v>0.61</v>
      </c>
      <c r="J93" s="1">
        <v>1.62</v>
      </c>
      <c r="K93" s="1">
        <v>4.8</v>
      </c>
      <c r="L93" s="1">
        <v>0.84</v>
      </c>
      <c r="M93" s="1">
        <v>2.0099999999999998</v>
      </c>
      <c r="N93" s="1">
        <v>515</v>
      </c>
      <c r="O93" s="1">
        <v>1</v>
      </c>
      <c r="R93" s="1">
        <f t="shared" si="32"/>
        <v>-0.13684210526315777</v>
      </c>
      <c r="S93" s="1">
        <f t="shared" si="33"/>
        <v>-0.90513833992094861</v>
      </c>
      <c r="T93" s="1">
        <f t="shared" si="34"/>
        <v>-5.8823529411764497E-2</v>
      </c>
      <c r="U93" s="1">
        <f t="shared" si="35"/>
        <v>-0.2371134020618556</v>
      </c>
      <c r="V93" s="1">
        <f t="shared" si="36"/>
        <v>-0.36956521739130432</v>
      </c>
      <c r="W93" s="1">
        <f t="shared" si="37"/>
        <v>-0.15862068965517229</v>
      </c>
      <c r="X93" s="1">
        <f t="shared" si="38"/>
        <v>-0.32489451476793263</v>
      </c>
      <c r="Y93" s="1">
        <f t="shared" si="39"/>
        <v>-0.35849056603773599</v>
      </c>
      <c r="Z93" s="1">
        <f t="shared" si="40"/>
        <v>-0.33753943217665616</v>
      </c>
      <c r="AA93" s="1">
        <f t="shared" si="41"/>
        <v>-0.77133105802047786</v>
      </c>
      <c r="AB93" s="1">
        <f t="shared" si="42"/>
        <v>0.21951219512195119</v>
      </c>
      <c r="AC93" s="1">
        <f t="shared" si="43"/>
        <v>0.3846153846153848</v>
      </c>
      <c r="AD93" s="1">
        <f t="shared" si="44"/>
        <v>-0.75463623395149781</v>
      </c>
      <c r="AE93" s="1">
        <v>1</v>
      </c>
    </row>
    <row r="94" spans="2:31" x14ac:dyDescent="0.2">
      <c r="B94" s="1">
        <v>11.84</v>
      </c>
      <c r="C94" s="1">
        <v>0.89</v>
      </c>
      <c r="D94" s="1">
        <v>2.58</v>
      </c>
      <c r="E94" s="1">
        <v>18</v>
      </c>
      <c r="F94" s="1">
        <v>94</v>
      </c>
      <c r="G94" s="1">
        <v>2.2000000000000002</v>
      </c>
      <c r="H94" s="1">
        <v>2.21</v>
      </c>
      <c r="I94" s="1">
        <v>0.22</v>
      </c>
      <c r="J94" s="1">
        <v>2.35</v>
      </c>
      <c r="K94" s="1">
        <v>3.05</v>
      </c>
      <c r="L94" s="1">
        <v>0.79</v>
      </c>
      <c r="M94" s="1">
        <v>3.08</v>
      </c>
      <c r="N94" s="1">
        <v>520</v>
      </c>
      <c r="O94" s="1">
        <v>1</v>
      </c>
      <c r="R94" s="1">
        <f t="shared" si="32"/>
        <v>-0.40526315789473655</v>
      </c>
      <c r="S94" s="1">
        <f t="shared" si="33"/>
        <v>-0.65612648221343872</v>
      </c>
      <c r="T94" s="1">
        <f t="shared" si="34"/>
        <v>1.6042780748663166E-2</v>
      </c>
      <c r="U94" s="1">
        <f t="shared" si="35"/>
        <v>0.25773195876288679</v>
      </c>
      <c r="V94" s="1">
        <f t="shared" si="36"/>
        <v>-0.56521739130434789</v>
      </c>
      <c r="W94" s="1">
        <f t="shared" si="37"/>
        <v>-0.44827586206896552</v>
      </c>
      <c r="X94" s="1">
        <f t="shared" si="38"/>
        <v>-0.43037974683544311</v>
      </c>
      <c r="Y94" s="1">
        <f t="shared" si="39"/>
        <v>0.13207547169811318</v>
      </c>
      <c r="Z94" s="1">
        <f t="shared" si="40"/>
        <v>-0.27444794952681373</v>
      </c>
      <c r="AA94" s="1">
        <f t="shared" si="41"/>
        <v>-0.80034129692832767</v>
      </c>
      <c r="AB94" s="1">
        <f t="shared" si="42"/>
        <v>0.38211382113821157</v>
      </c>
      <c r="AC94" s="1">
        <f t="shared" si="43"/>
        <v>-0.27472527472527486</v>
      </c>
      <c r="AD94" s="1">
        <f t="shared" si="44"/>
        <v>-0.69044222539229672</v>
      </c>
      <c r="AE94" s="1">
        <v>1</v>
      </c>
    </row>
    <row r="95" spans="2:31" x14ac:dyDescent="0.2">
      <c r="B95" s="1">
        <v>12.67</v>
      </c>
      <c r="C95" s="1">
        <v>0.98</v>
      </c>
      <c r="D95" s="1">
        <v>2.2400000000000002</v>
      </c>
      <c r="E95" s="1">
        <v>18</v>
      </c>
      <c r="F95" s="1">
        <v>99</v>
      </c>
      <c r="G95" s="1">
        <v>2.2000000000000002</v>
      </c>
      <c r="H95" s="1">
        <v>1.94</v>
      </c>
      <c r="I95" s="1">
        <v>0.3</v>
      </c>
      <c r="J95" s="1">
        <v>1.46</v>
      </c>
      <c r="K95" s="1">
        <v>2.62</v>
      </c>
      <c r="L95" s="1">
        <v>1.23</v>
      </c>
      <c r="M95" s="1">
        <v>3.16</v>
      </c>
      <c r="N95" s="1">
        <v>450</v>
      </c>
      <c r="O95" s="1">
        <v>1</v>
      </c>
      <c r="R95" s="1">
        <f t="shared" si="32"/>
        <v>-0.67368421052631533</v>
      </c>
      <c r="S95" s="1">
        <f t="shared" si="33"/>
        <v>-0.6324110671936759</v>
      </c>
      <c r="T95" s="1">
        <f t="shared" si="34"/>
        <v>0.34759358288770059</v>
      </c>
      <c r="U95" s="1">
        <f t="shared" si="35"/>
        <v>0.58762886597938158</v>
      </c>
      <c r="V95" s="1">
        <f t="shared" si="36"/>
        <v>-0.60869565217391308</v>
      </c>
      <c r="W95" s="1">
        <f t="shared" si="37"/>
        <v>-0.35172413793103452</v>
      </c>
      <c r="X95" s="1">
        <f t="shared" si="38"/>
        <v>-0.46413502109704641</v>
      </c>
      <c r="Y95" s="1">
        <f t="shared" si="39"/>
        <v>1.8867924528301883E-2</v>
      </c>
      <c r="Z95" s="1">
        <f t="shared" si="40"/>
        <v>-0.41324921135646675</v>
      </c>
      <c r="AA95" s="1">
        <f t="shared" si="41"/>
        <v>-0.77474402730375425</v>
      </c>
      <c r="AB95" s="1">
        <f t="shared" si="42"/>
        <v>0.43089430894308967</v>
      </c>
      <c r="AC95" s="1">
        <f t="shared" si="43"/>
        <v>0.4212454212454213</v>
      </c>
      <c r="AD95" s="1">
        <f t="shared" si="44"/>
        <v>-0.59486447931526398</v>
      </c>
      <c r="AE95" s="1">
        <v>1</v>
      </c>
    </row>
    <row r="96" spans="2:31" x14ac:dyDescent="0.2">
      <c r="B96" s="1">
        <v>12.16</v>
      </c>
      <c r="C96" s="1">
        <v>1.61</v>
      </c>
      <c r="D96" s="1">
        <v>2.31</v>
      </c>
      <c r="E96" s="1">
        <v>22.8</v>
      </c>
      <c r="F96" s="1">
        <v>90</v>
      </c>
      <c r="G96" s="1">
        <v>1.78</v>
      </c>
      <c r="H96" s="1">
        <v>1.69</v>
      </c>
      <c r="I96" s="1">
        <v>0.43</v>
      </c>
      <c r="J96" s="1">
        <v>1.56</v>
      </c>
      <c r="K96" s="1">
        <v>2.4500000000000002</v>
      </c>
      <c r="L96" s="1">
        <v>1.33</v>
      </c>
      <c r="M96" s="1">
        <v>2.2599999999999998</v>
      </c>
      <c r="N96" s="1">
        <v>495</v>
      </c>
      <c r="O96" s="1">
        <v>1</v>
      </c>
      <c r="R96" s="1">
        <f t="shared" si="32"/>
        <v>-0.67894736842105208</v>
      </c>
      <c r="S96" s="1">
        <f t="shared" si="33"/>
        <v>-0.47826086956521729</v>
      </c>
      <c r="T96" s="1">
        <f t="shared" si="34"/>
        <v>0.17647058823529416</v>
      </c>
      <c r="U96" s="1">
        <f t="shared" si="35"/>
        <v>0.13402061855670122</v>
      </c>
      <c r="V96" s="1">
        <f t="shared" si="36"/>
        <v>-0.69565217391304346</v>
      </c>
      <c r="W96" s="1">
        <f t="shared" si="37"/>
        <v>-0.33103448275862069</v>
      </c>
      <c r="X96" s="1">
        <f t="shared" si="38"/>
        <v>-0.43037974683544311</v>
      </c>
      <c r="Y96" s="1">
        <f t="shared" si="39"/>
        <v>0.320754716981132</v>
      </c>
      <c r="Z96" s="1">
        <f t="shared" si="40"/>
        <v>-0.40694006309148256</v>
      </c>
      <c r="AA96" s="1">
        <f t="shared" si="41"/>
        <v>-0.74061433447098979</v>
      </c>
      <c r="AB96" s="1">
        <f t="shared" si="42"/>
        <v>-0.15447154471544711</v>
      </c>
      <c r="AC96" s="1">
        <f t="shared" si="43"/>
        <v>8.4249084249084172E-2</v>
      </c>
      <c r="AD96" s="1">
        <f t="shared" si="44"/>
        <v>-0.42653352353780316</v>
      </c>
      <c r="AE96" s="1">
        <v>1</v>
      </c>
    </row>
    <row r="97" spans="2:31" x14ac:dyDescent="0.2">
      <c r="B97" s="1">
        <v>11.65</v>
      </c>
      <c r="C97" s="1">
        <v>1.67</v>
      </c>
      <c r="D97" s="1">
        <v>2.62</v>
      </c>
      <c r="E97" s="1">
        <v>26</v>
      </c>
      <c r="F97" s="1">
        <v>88</v>
      </c>
      <c r="G97" s="1">
        <v>1.92</v>
      </c>
      <c r="H97" s="1">
        <v>1.61</v>
      </c>
      <c r="I97" s="1">
        <v>0.4</v>
      </c>
      <c r="J97" s="1">
        <v>1.34</v>
      </c>
      <c r="K97" s="1">
        <v>2.6</v>
      </c>
      <c r="L97" s="1">
        <v>1.36</v>
      </c>
      <c r="M97" s="1">
        <v>3.21</v>
      </c>
      <c r="N97" s="1">
        <v>562</v>
      </c>
      <c r="O97" s="1">
        <v>1</v>
      </c>
      <c r="R97" s="1">
        <f t="shared" si="32"/>
        <v>-0.4473684210526313</v>
      </c>
      <c r="S97" s="1">
        <f t="shared" si="33"/>
        <v>-0.76679841897233203</v>
      </c>
      <c r="T97" s="1">
        <f t="shared" si="34"/>
        <v>5.3475935828874999E-3</v>
      </c>
      <c r="U97" s="1">
        <f t="shared" si="35"/>
        <v>0.34020618556701065</v>
      </c>
      <c r="V97" s="1">
        <f t="shared" si="36"/>
        <v>-1</v>
      </c>
      <c r="W97" s="1">
        <f t="shared" si="37"/>
        <v>-0.15862068965517229</v>
      </c>
      <c r="X97" s="1">
        <f t="shared" si="38"/>
        <v>-0.47257383966244726</v>
      </c>
      <c r="Y97" s="1">
        <f t="shared" si="39"/>
        <v>9.4339622641509413E-2</v>
      </c>
      <c r="Z97" s="1">
        <f t="shared" si="40"/>
        <v>-0.38801261829653</v>
      </c>
      <c r="AA97" s="1">
        <f t="shared" si="41"/>
        <v>-0.92150170648464169</v>
      </c>
      <c r="AB97" s="1">
        <f t="shared" si="42"/>
        <v>-4.0650406504064929E-2</v>
      </c>
      <c r="AC97" s="1">
        <f t="shared" si="43"/>
        <v>0.4212454212454213</v>
      </c>
      <c r="AD97" s="1">
        <f t="shared" si="44"/>
        <v>-0.50499286733238224</v>
      </c>
      <c r="AE97" s="1">
        <v>1</v>
      </c>
    </row>
    <row r="98" spans="2:31" x14ac:dyDescent="0.2">
      <c r="B98" s="1">
        <v>11.64</v>
      </c>
      <c r="C98" s="1">
        <v>2.06</v>
      </c>
      <c r="D98" s="1">
        <v>2.46</v>
      </c>
      <c r="E98" s="1">
        <v>21.6</v>
      </c>
      <c r="F98" s="1">
        <v>84</v>
      </c>
      <c r="G98" s="1">
        <v>1.95</v>
      </c>
      <c r="H98" s="1">
        <v>1.69</v>
      </c>
      <c r="I98" s="1">
        <v>0.48</v>
      </c>
      <c r="J98" s="1">
        <v>1.35</v>
      </c>
      <c r="K98" s="1">
        <v>2.8</v>
      </c>
      <c r="L98" s="1">
        <v>1</v>
      </c>
      <c r="M98" s="1">
        <v>2.75</v>
      </c>
      <c r="N98" s="1">
        <v>680</v>
      </c>
      <c r="O98" s="1">
        <v>1</v>
      </c>
      <c r="R98" s="1">
        <f t="shared" si="32"/>
        <v>-0.4473684210526313</v>
      </c>
      <c r="S98" s="1">
        <f t="shared" si="33"/>
        <v>-0.56916996047430823</v>
      </c>
      <c r="T98" s="1">
        <f t="shared" si="34"/>
        <v>2.6737967914438387E-2</v>
      </c>
      <c r="U98" s="1">
        <f t="shared" si="35"/>
        <v>-0.18556701030927825</v>
      </c>
      <c r="V98" s="1">
        <f t="shared" si="36"/>
        <v>-0.76086956521739135</v>
      </c>
      <c r="W98" s="1">
        <f t="shared" si="37"/>
        <v>-0.5724137931034482</v>
      </c>
      <c r="X98" s="1">
        <f t="shared" si="38"/>
        <v>-0.51054852320675104</v>
      </c>
      <c r="Y98" s="1">
        <f t="shared" si="39"/>
        <v>0.47169811320754707</v>
      </c>
      <c r="Z98" s="1">
        <f t="shared" si="40"/>
        <v>-0.22397476340694</v>
      </c>
      <c r="AA98" s="1">
        <f t="shared" si="41"/>
        <v>-0.80887372013651881</v>
      </c>
      <c r="AB98" s="1">
        <f t="shared" si="42"/>
        <v>-2.4390243902438824E-2</v>
      </c>
      <c r="AC98" s="1">
        <f t="shared" si="43"/>
        <v>-0.26739926739926745</v>
      </c>
      <c r="AD98" s="1">
        <f t="shared" si="44"/>
        <v>-0.71184022824536375</v>
      </c>
      <c r="AE98" s="1">
        <v>1</v>
      </c>
    </row>
    <row r="99" spans="2:31" x14ac:dyDescent="0.2">
      <c r="B99" s="1">
        <v>12.08</v>
      </c>
      <c r="C99" s="1">
        <v>1.33</v>
      </c>
      <c r="D99" s="1">
        <v>2.2999999999999998</v>
      </c>
      <c r="E99" s="1">
        <v>23.6</v>
      </c>
      <c r="F99" s="1">
        <v>70</v>
      </c>
      <c r="G99" s="1">
        <v>2.2000000000000002</v>
      </c>
      <c r="H99" s="1">
        <v>1.59</v>
      </c>
      <c r="I99" s="1">
        <v>0.42</v>
      </c>
      <c r="J99" s="1">
        <v>1.38</v>
      </c>
      <c r="K99" s="1">
        <v>1.74</v>
      </c>
      <c r="L99" s="1">
        <v>1.07</v>
      </c>
      <c r="M99" s="1">
        <v>3.21</v>
      </c>
      <c r="N99" s="1">
        <v>625</v>
      </c>
      <c r="O99" s="1">
        <v>1</v>
      </c>
      <c r="R99" s="1">
        <f t="shared" si="32"/>
        <v>-0.48947368421052606</v>
      </c>
      <c r="S99" s="1">
        <f t="shared" si="33"/>
        <v>-0.69565217391304346</v>
      </c>
      <c r="T99" s="1">
        <f t="shared" si="34"/>
        <v>0.13368983957219238</v>
      </c>
      <c r="U99" s="1">
        <f t="shared" si="35"/>
        <v>0.17525773195876293</v>
      </c>
      <c r="V99" s="1">
        <f t="shared" si="36"/>
        <v>-0.65217391304347827</v>
      </c>
      <c r="W99" s="1">
        <f t="shared" si="37"/>
        <v>-0.67586206896551726</v>
      </c>
      <c r="X99" s="1">
        <f t="shared" si="38"/>
        <v>-0.61603375527426163</v>
      </c>
      <c r="Y99" s="1">
        <f t="shared" si="39"/>
        <v>0.39622641509433953</v>
      </c>
      <c r="Z99" s="1">
        <f t="shared" si="40"/>
        <v>-0.2302839116719243</v>
      </c>
      <c r="AA99" s="1">
        <f t="shared" si="41"/>
        <v>-0.60409556313993173</v>
      </c>
      <c r="AB99" s="1">
        <f t="shared" si="42"/>
        <v>-7.3170731707316916E-2</v>
      </c>
      <c r="AC99" s="1">
        <f t="shared" si="43"/>
        <v>1.098901098901095E-2</v>
      </c>
      <c r="AD99" s="1">
        <f t="shared" si="44"/>
        <v>-0.75463623395149781</v>
      </c>
      <c r="AE99" s="1">
        <v>1</v>
      </c>
    </row>
    <row r="100" spans="2:31" x14ac:dyDescent="0.2">
      <c r="B100" s="1">
        <v>12.08</v>
      </c>
      <c r="C100" s="1">
        <v>1.83</v>
      </c>
      <c r="D100" s="1">
        <v>2.3199999999999998</v>
      </c>
      <c r="E100" s="1">
        <v>18.5</v>
      </c>
      <c r="F100" s="1">
        <v>81</v>
      </c>
      <c r="G100" s="1">
        <v>1.6</v>
      </c>
      <c r="H100" s="1">
        <v>1.5</v>
      </c>
      <c r="I100" s="1">
        <v>0.52</v>
      </c>
      <c r="J100" s="1">
        <v>1.64</v>
      </c>
      <c r="K100" s="1">
        <v>2.4</v>
      </c>
      <c r="L100" s="1">
        <v>1.08</v>
      </c>
      <c r="M100" s="1">
        <v>2.27</v>
      </c>
      <c r="N100" s="1">
        <v>480</v>
      </c>
      <c r="O100" s="1">
        <v>1</v>
      </c>
      <c r="R100" s="1">
        <f t="shared" si="32"/>
        <v>-0.12631578947368427</v>
      </c>
      <c r="S100" s="1">
        <f t="shared" si="33"/>
        <v>-0.68774703557312256</v>
      </c>
      <c r="T100" s="1">
        <f t="shared" si="34"/>
        <v>-3.7433155080214164E-2</v>
      </c>
      <c r="U100" s="1">
        <f t="shared" si="35"/>
        <v>4.1237113402061931E-2</v>
      </c>
      <c r="V100" s="1">
        <f t="shared" si="36"/>
        <v>-0.78260869565217395</v>
      </c>
      <c r="W100" s="1">
        <f t="shared" si="37"/>
        <v>-0.72413793103448287</v>
      </c>
      <c r="X100" s="1">
        <f t="shared" si="38"/>
        <v>-0.52742616033755274</v>
      </c>
      <c r="Y100" s="1">
        <f t="shared" si="39"/>
        <v>0.69811320754716966</v>
      </c>
      <c r="Z100" s="1">
        <f t="shared" si="40"/>
        <v>-0.23659305993690838</v>
      </c>
      <c r="AA100" s="1">
        <f t="shared" si="41"/>
        <v>-0.69795221843003419</v>
      </c>
      <c r="AB100" s="1">
        <f t="shared" si="42"/>
        <v>-0.21951219512195119</v>
      </c>
      <c r="AC100" s="1">
        <f t="shared" si="43"/>
        <v>-0.42124542124542119</v>
      </c>
      <c r="AD100" s="1">
        <f t="shared" si="44"/>
        <v>-0.69044222539229672</v>
      </c>
      <c r="AE100" s="1">
        <v>1</v>
      </c>
    </row>
    <row r="101" spans="2:31" x14ac:dyDescent="0.2">
      <c r="B101" s="1">
        <v>12</v>
      </c>
      <c r="C101" s="1">
        <v>1.51</v>
      </c>
      <c r="D101" s="1">
        <v>2.42</v>
      </c>
      <c r="E101" s="1">
        <v>22</v>
      </c>
      <c r="F101" s="1">
        <v>86</v>
      </c>
      <c r="G101" s="1">
        <v>1.45</v>
      </c>
      <c r="H101" s="1">
        <v>1.25</v>
      </c>
      <c r="I101" s="1">
        <v>0.5</v>
      </c>
      <c r="J101" s="1">
        <v>1.63</v>
      </c>
      <c r="K101" s="1">
        <v>3.6</v>
      </c>
      <c r="L101" s="1">
        <v>1.05</v>
      </c>
      <c r="M101" s="1">
        <v>2.65</v>
      </c>
      <c r="N101" s="1">
        <v>450</v>
      </c>
      <c r="O101" s="1">
        <v>1</v>
      </c>
      <c r="R101" s="1">
        <f t="shared" si="32"/>
        <v>-0.33684210526315816</v>
      </c>
      <c r="S101" s="1">
        <f t="shared" si="33"/>
        <v>-0.17391304347826086</v>
      </c>
      <c r="T101" s="1">
        <f t="shared" si="34"/>
        <v>-8.0213903743315385E-2</v>
      </c>
      <c r="U101" s="1">
        <f t="shared" si="35"/>
        <v>-0.2371134020618556</v>
      </c>
      <c r="V101" s="1">
        <f t="shared" si="36"/>
        <v>-0.60869565217391308</v>
      </c>
      <c r="W101" s="1">
        <f t="shared" si="37"/>
        <v>1.3793103448276112E-2</v>
      </c>
      <c r="X101" s="1">
        <f t="shared" si="38"/>
        <v>-0.19409282700421948</v>
      </c>
      <c r="Y101" s="1">
        <f t="shared" si="39"/>
        <v>-0.54716981132075482</v>
      </c>
      <c r="Z101" s="1">
        <f t="shared" si="40"/>
        <v>-3.154574132492094E-3</v>
      </c>
      <c r="AA101" s="1">
        <f t="shared" si="41"/>
        <v>-0.85153583617747441</v>
      </c>
      <c r="AB101" s="1">
        <f t="shared" si="42"/>
        <v>8.9430894308943021E-2</v>
      </c>
      <c r="AC101" s="1">
        <f t="shared" si="43"/>
        <v>0.487179487179487</v>
      </c>
      <c r="AD101" s="1">
        <f t="shared" si="44"/>
        <v>-0.98288159771754635</v>
      </c>
      <c r="AE101" s="1">
        <v>1</v>
      </c>
    </row>
    <row r="102" spans="2:31" x14ac:dyDescent="0.2">
      <c r="B102" s="1">
        <v>12.69</v>
      </c>
      <c r="C102" s="1">
        <v>1.53</v>
      </c>
      <c r="D102" s="1">
        <v>2.2599999999999998</v>
      </c>
      <c r="E102" s="1">
        <v>20.7</v>
      </c>
      <c r="F102" s="1">
        <v>80</v>
      </c>
      <c r="G102" s="1">
        <v>1.38</v>
      </c>
      <c r="H102" s="1">
        <v>1.46</v>
      </c>
      <c r="I102" s="1">
        <v>0.57999999999999996</v>
      </c>
      <c r="J102" s="1">
        <v>1.62</v>
      </c>
      <c r="K102" s="1">
        <v>3.05</v>
      </c>
      <c r="L102" s="1">
        <v>0.96</v>
      </c>
      <c r="M102" s="1">
        <v>2.06</v>
      </c>
      <c r="N102" s="1">
        <v>495</v>
      </c>
      <c r="O102" s="1">
        <v>1</v>
      </c>
      <c r="R102" s="1">
        <f t="shared" si="32"/>
        <v>-0.68947368421052646</v>
      </c>
      <c r="S102" s="1">
        <f t="shared" si="33"/>
        <v>-0.50592885375494068</v>
      </c>
      <c r="T102" s="1">
        <f t="shared" si="34"/>
        <v>-1.6042780748663388E-2</v>
      </c>
      <c r="U102" s="1">
        <f t="shared" si="35"/>
        <v>-0.2371134020618556</v>
      </c>
      <c r="V102" s="1">
        <f t="shared" si="36"/>
        <v>-0.39130434782608692</v>
      </c>
      <c r="W102" s="1">
        <f t="shared" si="37"/>
        <v>0.40689655172413808</v>
      </c>
      <c r="X102" s="1">
        <f t="shared" si="38"/>
        <v>-0.18987341772151911</v>
      </c>
      <c r="Y102" s="1">
        <f t="shared" si="39"/>
        <v>-0.84905660377358494</v>
      </c>
      <c r="Z102" s="1">
        <f t="shared" si="40"/>
        <v>-0.40694006309148256</v>
      </c>
      <c r="AA102" s="1">
        <f t="shared" si="41"/>
        <v>-0.66382252559726962</v>
      </c>
      <c r="AB102" s="1">
        <f t="shared" si="42"/>
        <v>0.10569105691056913</v>
      </c>
      <c r="AC102" s="1">
        <f t="shared" si="43"/>
        <v>0.23809523809523814</v>
      </c>
      <c r="AD102" s="1">
        <f t="shared" si="44"/>
        <v>-0.90442225392296716</v>
      </c>
      <c r="AE102" s="1">
        <v>1</v>
      </c>
    </row>
    <row r="103" spans="2:31" x14ac:dyDescent="0.2">
      <c r="B103" s="1">
        <v>12.29</v>
      </c>
      <c r="C103" s="1">
        <v>2.83</v>
      </c>
      <c r="D103" s="1">
        <v>2.2200000000000002</v>
      </c>
      <c r="E103" s="1">
        <v>18</v>
      </c>
      <c r="F103" s="1">
        <v>88</v>
      </c>
      <c r="G103" s="1">
        <v>2.4500000000000002</v>
      </c>
      <c r="H103" s="1">
        <v>2.25</v>
      </c>
      <c r="I103" s="1">
        <v>0.25</v>
      </c>
      <c r="J103" s="1">
        <v>1.99</v>
      </c>
      <c r="K103" s="1">
        <v>2.15</v>
      </c>
      <c r="L103" s="1">
        <v>1.1499999999999999</v>
      </c>
      <c r="M103" s="1">
        <v>3.3</v>
      </c>
      <c r="N103" s="1">
        <v>290</v>
      </c>
      <c r="O103" s="1">
        <v>1</v>
      </c>
      <c r="R103" s="1">
        <f t="shared" si="32"/>
        <v>-0.24210526315789416</v>
      </c>
      <c r="S103" s="1">
        <f t="shared" si="33"/>
        <v>-0.69169960474308301</v>
      </c>
      <c r="T103" s="1">
        <f t="shared" si="34"/>
        <v>-0.10160427807486616</v>
      </c>
      <c r="U103" s="1">
        <f t="shared" si="35"/>
        <v>-0.13402061855670089</v>
      </c>
      <c r="V103" s="1">
        <f t="shared" si="36"/>
        <v>1</v>
      </c>
      <c r="W103" s="1">
        <f t="shared" si="37"/>
        <v>4.8275862068965614E-2</v>
      </c>
      <c r="X103" s="1">
        <f t="shared" si="38"/>
        <v>-0.18565400843881863</v>
      </c>
      <c r="Y103" s="1">
        <f t="shared" si="39"/>
        <v>-0.28301886792452835</v>
      </c>
      <c r="Z103" s="1">
        <f t="shared" si="40"/>
        <v>0.81072555205047303</v>
      </c>
      <c r="AA103" s="1">
        <f t="shared" si="41"/>
        <v>-0.77474402730375425</v>
      </c>
      <c r="AB103" s="1">
        <f t="shared" si="42"/>
        <v>0.10569105691056913</v>
      </c>
      <c r="AC103" s="1">
        <f t="shared" si="43"/>
        <v>-3.663003663003761E-3</v>
      </c>
      <c r="AD103" s="1">
        <f t="shared" si="44"/>
        <v>-5.9914407988587715E-2</v>
      </c>
      <c r="AE103" s="1">
        <v>1</v>
      </c>
    </row>
    <row r="104" spans="2:31" x14ac:dyDescent="0.2">
      <c r="B104" s="1">
        <v>11.62</v>
      </c>
      <c r="C104" s="1">
        <v>1.99</v>
      </c>
      <c r="D104" s="1">
        <v>2.2799999999999998</v>
      </c>
      <c r="E104" s="1">
        <v>18</v>
      </c>
      <c r="F104" s="1">
        <v>98</v>
      </c>
      <c r="G104" s="1">
        <v>3.02</v>
      </c>
      <c r="H104" s="1">
        <v>2.2599999999999998</v>
      </c>
      <c r="I104" s="1">
        <v>0.17</v>
      </c>
      <c r="J104" s="1">
        <v>1.35</v>
      </c>
      <c r="K104" s="1">
        <v>3.25</v>
      </c>
      <c r="L104" s="1">
        <v>1.1599999999999999</v>
      </c>
      <c r="M104" s="1">
        <v>2.96</v>
      </c>
      <c r="N104" s="1">
        <v>345</v>
      </c>
      <c r="O104" s="1">
        <v>1</v>
      </c>
      <c r="R104" s="1">
        <f t="shared" si="32"/>
        <v>-0.58947368421052582</v>
      </c>
      <c r="S104" s="1">
        <f t="shared" si="33"/>
        <v>-0.45454545454545447</v>
      </c>
      <c r="T104" s="1">
        <f t="shared" si="34"/>
        <v>0.47593582887700547</v>
      </c>
      <c r="U104" s="1">
        <f t="shared" si="35"/>
        <v>0.12371134020618579</v>
      </c>
      <c r="V104" s="1">
        <f t="shared" si="36"/>
        <v>0.39130434782608692</v>
      </c>
      <c r="W104" s="1">
        <f t="shared" si="37"/>
        <v>-0.5724137931034482</v>
      </c>
      <c r="X104" s="1">
        <f t="shared" si="38"/>
        <v>-0.72573839662447259</v>
      </c>
      <c r="Y104" s="1">
        <f t="shared" si="39"/>
        <v>-0.96226415094339623</v>
      </c>
      <c r="Z104" s="1">
        <f t="shared" si="40"/>
        <v>-0.27444794952681373</v>
      </c>
      <c r="AA104" s="1">
        <f t="shared" si="41"/>
        <v>-0.79180887372013653</v>
      </c>
      <c r="AB104" s="1">
        <f t="shared" si="42"/>
        <v>-0.2357723577235773</v>
      </c>
      <c r="AC104" s="1">
        <f t="shared" si="43"/>
        <v>-0.27472527472527486</v>
      </c>
      <c r="AD104" s="1">
        <f t="shared" si="44"/>
        <v>-0.50499286733238224</v>
      </c>
      <c r="AE104" s="1">
        <v>1</v>
      </c>
    </row>
    <row r="105" spans="2:31" x14ac:dyDescent="0.2">
      <c r="B105" s="1">
        <v>12.47</v>
      </c>
      <c r="C105" s="1">
        <v>1.52</v>
      </c>
      <c r="D105" s="1">
        <v>2.2000000000000002</v>
      </c>
      <c r="E105" s="1">
        <v>19</v>
      </c>
      <c r="F105" s="1">
        <v>162</v>
      </c>
      <c r="G105" s="1">
        <v>2.5</v>
      </c>
      <c r="H105" s="1">
        <v>2.27</v>
      </c>
      <c r="I105" s="1">
        <v>0.32</v>
      </c>
      <c r="J105" s="1">
        <v>3.28</v>
      </c>
      <c r="K105" s="1">
        <v>2.6</v>
      </c>
      <c r="L105" s="1">
        <v>1.1599999999999999</v>
      </c>
      <c r="M105" s="1">
        <v>2.63</v>
      </c>
      <c r="N105" s="1">
        <v>937</v>
      </c>
      <c r="O105" s="1">
        <v>1</v>
      </c>
      <c r="R105" s="1">
        <f t="shared" si="32"/>
        <v>-0.33684210526315816</v>
      </c>
      <c r="S105" s="1">
        <f t="shared" si="33"/>
        <v>-0.7351778656126482</v>
      </c>
      <c r="T105" s="1">
        <f t="shared" si="34"/>
        <v>-0.33689839572192526</v>
      </c>
      <c r="U105" s="1">
        <f t="shared" si="35"/>
        <v>-0.44329896907216482</v>
      </c>
      <c r="V105" s="1">
        <f t="shared" si="36"/>
        <v>-0.67391304347826086</v>
      </c>
      <c r="W105" s="1">
        <f t="shared" si="37"/>
        <v>8.2758620689655116E-2</v>
      </c>
      <c r="X105" s="1">
        <f t="shared" si="38"/>
        <v>-8.8607594936708889E-2</v>
      </c>
      <c r="Y105" s="1">
        <f t="shared" si="39"/>
        <v>-0.39622641509433976</v>
      </c>
      <c r="Z105" s="1">
        <f t="shared" si="40"/>
        <v>-0.141955835962145</v>
      </c>
      <c r="AA105" s="1">
        <f t="shared" si="41"/>
        <v>-0.72354948805460761</v>
      </c>
      <c r="AB105" s="1">
        <f t="shared" si="42"/>
        <v>0.21951219512195119</v>
      </c>
      <c r="AC105" s="1">
        <f t="shared" si="43"/>
        <v>7.6923076923077094E-2</v>
      </c>
      <c r="AD105" s="1">
        <f t="shared" si="44"/>
        <v>-0.78601997146932956</v>
      </c>
      <c r="AE105" s="1">
        <v>1</v>
      </c>
    </row>
    <row r="106" spans="2:31" x14ac:dyDescent="0.2">
      <c r="B106" s="1">
        <v>11.81</v>
      </c>
      <c r="C106" s="1">
        <v>2.12</v>
      </c>
      <c r="D106" s="1">
        <v>2.74</v>
      </c>
      <c r="E106" s="1">
        <v>21.5</v>
      </c>
      <c r="F106" s="1">
        <v>134</v>
      </c>
      <c r="G106" s="1">
        <v>1.6</v>
      </c>
      <c r="H106" s="1">
        <v>0.99</v>
      </c>
      <c r="I106" s="1">
        <v>0.14000000000000001</v>
      </c>
      <c r="J106" s="1">
        <v>1.56</v>
      </c>
      <c r="K106" s="1">
        <v>2.5</v>
      </c>
      <c r="L106" s="1">
        <v>0.95</v>
      </c>
      <c r="M106" s="1">
        <v>2.2599999999999998</v>
      </c>
      <c r="N106" s="1">
        <v>625</v>
      </c>
      <c r="O106" s="1">
        <v>1</v>
      </c>
      <c r="R106" s="1">
        <f t="shared" si="32"/>
        <v>-0.29473684210526341</v>
      </c>
      <c r="S106" s="1">
        <f t="shared" si="33"/>
        <v>-0.86956521739130432</v>
      </c>
      <c r="T106" s="1">
        <f t="shared" si="34"/>
        <v>-0.20855614973262027</v>
      </c>
      <c r="U106" s="1">
        <f t="shared" si="35"/>
        <v>-0.18556701030927825</v>
      </c>
      <c r="V106" s="1">
        <f t="shared" si="36"/>
        <v>-0.60869565217391308</v>
      </c>
      <c r="W106" s="1">
        <f t="shared" si="37"/>
        <v>0.75172413793103465</v>
      </c>
      <c r="X106" s="1">
        <f t="shared" si="38"/>
        <v>0.43881856540084385</v>
      </c>
      <c r="Y106" s="1">
        <f t="shared" si="39"/>
        <v>-0.58490566037735858</v>
      </c>
      <c r="Z106" s="1">
        <f t="shared" si="40"/>
        <v>-2.8391167192428957E-2</v>
      </c>
      <c r="AA106" s="1">
        <f t="shared" si="41"/>
        <v>-0.45051194539249151</v>
      </c>
      <c r="AB106" s="1">
        <f t="shared" si="42"/>
        <v>-8.9430894308943021E-2</v>
      </c>
      <c r="AC106" s="1">
        <f t="shared" si="43"/>
        <v>9.8901098901098994E-2</v>
      </c>
      <c r="AD106" s="1">
        <f t="shared" si="44"/>
        <v>-0.45506419400855924</v>
      </c>
      <c r="AE106" s="1">
        <v>1</v>
      </c>
    </row>
    <row r="107" spans="2:31" x14ac:dyDescent="0.2">
      <c r="B107" s="1">
        <v>12.29</v>
      </c>
      <c r="C107" s="1">
        <v>1.41</v>
      </c>
      <c r="D107" s="1">
        <v>1.98</v>
      </c>
      <c r="E107" s="1">
        <v>16</v>
      </c>
      <c r="F107" s="1">
        <v>85</v>
      </c>
      <c r="G107" s="1">
        <v>2.5499999999999998</v>
      </c>
      <c r="H107" s="1">
        <v>2.5</v>
      </c>
      <c r="I107" s="1">
        <v>0.28999999999999998</v>
      </c>
      <c r="J107" s="1">
        <v>1.77</v>
      </c>
      <c r="K107" s="1">
        <v>2.9</v>
      </c>
      <c r="L107" s="1">
        <v>1.23</v>
      </c>
      <c r="M107" s="1">
        <v>2.74</v>
      </c>
      <c r="N107" s="1">
        <v>428</v>
      </c>
      <c r="O107" s="1">
        <v>1</v>
      </c>
      <c r="R107" s="1">
        <f t="shared" si="32"/>
        <v>-0.33684210526315816</v>
      </c>
      <c r="S107" s="1">
        <f t="shared" si="33"/>
        <v>-3.9525691699604737E-2</v>
      </c>
      <c r="T107" s="1">
        <f t="shared" si="34"/>
        <v>-9.090909090909105E-2</v>
      </c>
      <c r="U107" s="1">
        <f t="shared" si="35"/>
        <v>-0.2371134020618556</v>
      </c>
      <c r="V107" s="1">
        <f t="shared" si="36"/>
        <v>-0.60869565217391308</v>
      </c>
      <c r="W107" s="1">
        <f t="shared" si="37"/>
        <v>0.28965517241379324</v>
      </c>
      <c r="X107" s="1">
        <f t="shared" si="38"/>
        <v>0.11814345991561193</v>
      </c>
      <c r="Y107" s="1">
        <f t="shared" si="39"/>
        <v>0.20754716981132071</v>
      </c>
      <c r="Z107" s="1">
        <f t="shared" si="40"/>
        <v>0.51419558359621442</v>
      </c>
      <c r="AA107" s="1">
        <f t="shared" si="41"/>
        <v>-0.8259385665529011</v>
      </c>
      <c r="AB107" s="1">
        <f t="shared" si="42"/>
        <v>0.52845528455284541</v>
      </c>
      <c r="AC107" s="1">
        <f t="shared" si="43"/>
        <v>0.14285714285714279</v>
      </c>
      <c r="AD107" s="1">
        <f t="shared" si="44"/>
        <v>-0.81740370898716119</v>
      </c>
      <c r="AE107" s="1">
        <v>1</v>
      </c>
    </row>
    <row r="108" spans="2:31" x14ac:dyDescent="0.2">
      <c r="B108" s="1">
        <v>12.37</v>
      </c>
      <c r="C108" s="1">
        <v>1.07</v>
      </c>
      <c r="D108" s="1">
        <v>2.1</v>
      </c>
      <c r="E108" s="1">
        <v>18.5</v>
      </c>
      <c r="F108" s="1">
        <v>88</v>
      </c>
      <c r="G108" s="1">
        <v>3.52</v>
      </c>
      <c r="H108" s="1">
        <v>3.75</v>
      </c>
      <c r="I108" s="1">
        <v>0.24</v>
      </c>
      <c r="J108" s="1">
        <v>1.95</v>
      </c>
      <c r="K108" s="1">
        <v>4.5</v>
      </c>
      <c r="L108" s="1">
        <v>1.04</v>
      </c>
      <c r="M108" s="1">
        <v>2.77</v>
      </c>
      <c r="N108" s="1">
        <v>660</v>
      </c>
      <c r="O108" s="1">
        <v>1</v>
      </c>
      <c r="R108" s="1">
        <f t="shared" si="32"/>
        <v>-0.4473684210526313</v>
      </c>
      <c r="S108" s="1">
        <f t="shared" si="33"/>
        <v>-0.47035573122529639</v>
      </c>
      <c r="T108" s="1">
        <f t="shared" si="34"/>
        <v>-0.63636363636363646</v>
      </c>
      <c r="U108" s="1">
        <f t="shared" si="35"/>
        <v>-0.28865979381443285</v>
      </c>
      <c r="V108" s="1">
        <f t="shared" si="36"/>
        <v>-0.41304347826086951</v>
      </c>
      <c r="W108" s="1">
        <f t="shared" si="37"/>
        <v>-0.13793103448275856</v>
      </c>
      <c r="X108" s="1">
        <f t="shared" si="38"/>
        <v>-0.22784810126582289</v>
      </c>
      <c r="Y108" s="1">
        <f t="shared" si="39"/>
        <v>-0.50943396226415094</v>
      </c>
      <c r="Z108" s="1">
        <f t="shared" si="40"/>
        <v>-0.37539432176656151</v>
      </c>
      <c r="AA108" s="1">
        <f t="shared" si="41"/>
        <v>-0.65529010238907859</v>
      </c>
      <c r="AB108" s="1">
        <f t="shared" si="42"/>
        <v>0.28455284552845539</v>
      </c>
      <c r="AC108" s="1">
        <f t="shared" si="43"/>
        <v>0.23809523809523814</v>
      </c>
      <c r="AD108" s="1">
        <f t="shared" si="44"/>
        <v>-0.38373751783166909</v>
      </c>
      <c r="AE108" s="1">
        <v>1</v>
      </c>
    </row>
    <row r="109" spans="2:31" x14ac:dyDescent="0.2">
      <c r="B109" s="1">
        <v>12.29</v>
      </c>
      <c r="C109" s="1">
        <v>3.17</v>
      </c>
      <c r="D109" s="1">
        <v>2.21</v>
      </c>
      <c r="E109" s="1">
        <v>18</v>
      </c>
      <c r="F109" s="1">
        <v>88</v>
      </c>
      <c r="G109" s="1">
        <v>2.85</v>
      </c>
      <c r="H109" s="1">
        <v>2.99</v>
      </c>
      <c r="I109" s="1">
        <v>0.45</v>
      </c>
      <c r="J109" s="1">
        <v>2.81</v>
      </c>
      <c r="K109" s="1">
        <v>2.2999999999999998</v>
      </c>
      <c r="L109" s="1">
        <v>1.42</v>
      </c>
      <c r="M109" s="1">
        <v>2.83</v>
      </c>
      <c r="N109" s="1">
        <v>406</v>
      </c>
      <c r="O109" s="1">
        <v>1</v>
      </c>
      <c r="R109" s="1">
        <f t="shared" si="32"/>
        <v>-0.17368421052631577</v>
      </c>
      <c r="S109" s="1">
        <f t="shared" si="33"/>
        <v>-0.76284584980237147</v>
      </c>
      <c r="T109" s="1">
        <f t="shared" si="34"/>
        <v>-0.42245989304812848</v>
      </c>
      <c r="U109" s="1">
        <f t="shared" si="35"/>
        <v>-0.18556701030927825</v>
      </c>
      <c r="V109" s="1">
        <f t="shared" si="36"/>
        <v>-0.60869565217391308</v>
      </c>
      <c r="W109" s="1">
        <f t="shared" si="37"/>
        <v>-0.67586206896551726</v>
      </c>
      <c r="X109" s="1">
        <f t="shared" si="38"/>
        <v>-0.569620253164557</v>
      </c>
      <c r="Y109" s="1">
        <f t="shared" si="39"/>
        <v>-0.39622641509433976</v>
      </c>
      <c r="Z109" s="1">
        <f t="shared" si="40"/>
        <v>-0.40694006309148256</v>
      </c>
      <c r="AA109" s="1">
        <f t="shared" si="41"/>
        <v>-0.80034129692832767</v>
      </c>
      <c r="AB109" s="1">
        <f t="shared" si="42"/>
        <v>-8.9430894308943021E-2</v>
      </c>
      <c r="AC109" s="1">
        <f t="shared" si="43"/>
        <v>9.8901098901098994E-2</v>
      </c>
      <c r="AD109" s="1">
        <f t="shared" si="44"/>
        <v>-0.59486447931526398</v>
      </c>
      <c r="AE109" s="1">
        <v>1</v>
      </c>
    </row>
    <row r="110" spans="2:31" x14ac:dyDescent="0.2">
      <c r="B110" s="1">
        <v>12.08</v>
      </c>
      <c r="C110" s="1">
        <v>2.08</v>
      </c>
      <c r="D110" s="1">
        <v>1.7</v>
      </c>
      <c r="E110" s="1">
        <v>17.5</v>
      </c>
      <c r="F110" s="1">
        <v>97</v>
      </c>
      <c r="G110" s="1">
        <v>2.23</v>
      </c>
      <c r="H110" s="1">
        <v>2.17</v>
      </c>
      <c r="I110" s="1">
        <v>0.26</v>
      </c>
      <c r="J110" s="1">
        <v>1.4</v>
      </c>
      <c r="K110" s="1">
        <v>3.3</v>
      </c>
      <c r="L110" s="1">
        <v>1.27</v>
      </c>
      <c r="M110" s="1">
        <v>2.96</v>
      </c>
      <c r="N110" s="1">
        <v>710</v>
      </c>
      <c r="O110" s="1">
        <v>1</v>
      </c>
      <c r="R110" s="1">
        <f t="shared" si="32"/>
        <v>-0.31052631578947354</v>
      </c>
      <c r="S110" s="1">
        <f t="shared" si="33"/>
        <v>-0.3241106719367588</v>
      </c>
      <c r="T110" s="1">
        <f t="shared" si="34"/>
        <v>0.17647058823529416</v>
      </c>
      <c r="U110" s="1">
        <f t="shared" si="35"/>
        <v>7.2164948453608435E-2</v>
      </c>
      <c r="V110" s="1">
        <f t="shared" si="36"/>
        <v>-0.39130434782608692</v>
      </c>
      <c r="W110" s="1">
        <f t="shared" si="37"/>
        <v>8.9655172413793283E-2</v>
      </c>
      <c r="X110" s="1">
        <f t="shared" si="38"/>
        <v>-0.25316455696202544</v>
      </c>
      <c r="Y110" s="1">
        <f t="shared" si="39"/>
        <v>-0.20754716981132071</v>
      </c>
      <c r="Z110" s="1">
        <f t="shared" si="40"/>
        <v>-0.43217665615141942</v>
      </c>
      <c r="AA110" s="1">
        <f t="shared" si="41"/>
        <v>-0.74061433447098979</v>
      </c>
      <c r="AB110" s="1">
        <f t="shared" si="42"/>
        <v>-0.47967479674796742</v>
      </c>
      <c r="AC110" s="1">
        <f t="shared" si="43"/>
        <v>0.54578754578754562</v>
      </c>
      <c r="AD110" s="1">
        <f t="shared" si="44"/>
        <v>-0.77175463623395146</v>
      </c>
      <c r="AE110" s="1">
        <v>1</v>
      </c>
    </row>
    <row r="111" spans="2:31" x14ac:dyDescent="0.2">
      <c r="B111" s="1">
        <v>12.6</v>
      </c>
      <c r="C111" s="1">
        <v>1.34</v>
      </c>
      <c r="D111" s="1">
        <v>1.9</v>
      </c>
      <c r="E111" s="1">
        <v>18.5</v>
      </c>
      <c r="F111" s="1">
        <v>88</v>
      </c>
      <c r="G111" s="1">
        <v>1.45</v>
      </c>
      <c r="H111" s="1">
        <v>1.36</v>
      </c>
      <c r="I111" s="1">
        <v>0.28999999999999998</v>
      </c>
      <c r="J111" s="1">
        <v>1.35</v>
      </c>
      <c r="K111" s="1">
        <v>2.4500000000000002</v>
      </c>
      <c r="L111" s="1">
        <v>1.04</v>
      </c>
      <c r="M111" s="1">
        <v>2.77</v>
      </c>
      <c r="N111" s="1">
        <v>562</v>
      </c>
      <c r="O111" s="1">
        <v>1</v>
      </c>
      <c r="R111" s="1">
        <f t="shared" si="32"/>
        <v>-0.58421052631578907</v>
      </c>
      <c r="S111" s="1">
        <f t="shared" si="33"/>
        <v>-0.61264822134387353</v>
      </c>
      <c r="T111" s="1">
        <f t="shared" si="34"/>
        <v>-0.44385026737967936</v>
      </c>
      <c r="U111" s="1">
        <f t="shared" si="35"/>
        <v>-8.247422680412364E-2</v>
      </c>
      <c r="V111" s="1">
        <f t="shared" si="36"/>
        <v>-0.65217391304347827</v>
      </c>
      <c r="W111" s="1">
        <f t="shared" si="37"/>
        <v>4.8275862068965614E-2</v>
      </c>
      <c r="X111" s="1">
        <f t="shared" si="38"/>
        <v>-0.4514767932489453</v>
      </c>
      <c r="Y111" s="1">
        <f t="shared" si="39"/>
        <v>-9.4339622641509524E-2</v>
      </c>
      <c r="Z111" s="1">
        <f t="shared" si="40"/>
        <v>-0.36277602523659302</v>
      </c>
      <c r="AA111" s="1">
        <f t="shared" si="41"/>
        <v>-0.86689419795221845</v>
      </c>
      <c r="AB111" s="1">
        <f t="shared" si="42"/>
        <v>-0.25203252032520329</v>
      </c>
      <c r="AC111" s="1">
        <f t="shared" si="43"/>
        <v>-0.1428571428571429</v>
      </c>
      <c r="AD111" s="1">
        <f t="shared" si="44"/>
        <v>-0.80456490727532093</v>
      </c>
      <c r="AE111" s="1">
        <v>1</v>
      </c>
    </row>
    <row r="112" spans="2:31" x14ac:dyDescent="0.2">
      <c r="B112" s="1">
        <v>12.34</v>
      </c>
      <c r="C112" s="1">
        <v>2.4500000000000002</v>
      </c>
      <c r="D112" s="1">
        <v>2.46</v>
      </c>
      <c r="E112" s="1">
        <v>21</v>
      </c>
      <c r="F112" s="1">
        <v>98</v>
      </c>
      <c r="G112" s="1">
        <v>2.56</v>
      </c>
      <c r="H112" s="1">
        <v>2.11</v>
      </c>
      <c r="I112" s="1">
        <v>0.34</v>
      </c>
      <c r="J112" s="1">
        <v>1.31</v>
      </c>
      <c r="K112" s="1">
        <v>2.8</v>
      </c>
      <c r="L112" s="1">
        <v>0.8</v>
      </c>
      <c r="M112" s="1">
        <v>3.38</v>
      </c>
      <c r="N112" s="1">
        <v>438</v>
      </c>
      <c r="O112" s="1">
        <v>1</v>
      </c>
      <c r="R112" s="1">
        <f t="shared" si="32"/>
        <v>-0.22105263157894728</v>
      </c>
      <c r="S112" s="1">
        <f t="shared" si="33"/>
        <v>-0.60869565217391308</v>
      </c>
      <c r="T112" s="1">
        <f t="shared" si="34"/>
        <v>-0.33689839572192526</v>
      </c>
      <c r="U112" s="1">
        <f t="shared" si="35"/>
        <v>2.0618556701031077E-2</v>
      </c>
      <c r="V112" s="1">
        <f t="shared" si="36"/>
        <v>-0.67391304347826086</v>
      </c>
      <c r="W112" s="1">
        <f t="shared" si="37"/>
        <v>-0.15862068965517229</v>
      </c>
      <c r="X112" s="1">
        <f t="shared" si="38"/>
        <v>-0.33333333333333348</v>
      </c>
      <c r="Y112" s="1">
        <f t="shared" si="39"/>
        <v>-0.28301886792452835</v>
      </c>
      <c r="Z112" s="1">
        <f t="shared" si="40"/>
        <v>-0.32492113564668768</v>
      </c>
      <c r="AA112" s="1">
        <f t="shared" si="41"/>
        <v>-0.71672354948805461</v>
      </c>
      <c r="AB112" s="1">
        <f t="shared" si="42"/>
        <v>-8.9430894308943021E-2</v>
      </c>
      <c r="AC112" s="1">
        <f t="shared" si="43"/>
        <v>0.68498168498168477</v>
      </c>
      <c r="AD112" s="1">
        <f t="shared" si="44"/>
        <v>-0.43794579172610559</v>
      </c>
      <c r="AE112" s="1">
        <v>1</v>
      </c>
    </row>
    <row r="113" spans="2:31" x14ac:dyDescent="0.2">
      <c r="B113" s="1">
        <v>11.82</v>
      </c>
      <c r="C113" s="1">
        <v>1.72</v>
      </c>
      <c r="D113" s="1">
        <v>1.88</v>
      </c>
      <c r="E113" s="1">
        <v>19.5</v>
      </c>
      <c r="F113" s="1">
        <v>86</v>
      </c>
      <c r="G113" s="1">
        <v>2.5</v>
      </c>
      <c r="H113" s="1">
        <v>1.64</v>
      </c>
      <c r="I113" s="1">
        <v>0.37</v>
      </c>
      <c r="J113" s="1">
        <v>1.42</v>
      </c>
      <c r="K113" s="1">
        <v>2.06</v>
      </c>
      <c r="L113" s="1">
        <v>0.94</v>
      </c>
      <c r="M113" s="1">
        <v>2.44</v>
      </c>
      <c r="N113" s="1">
        <v>415</v>
      </c>
      <c r="O113" s="1">
        <v>1</v>
      </c>
      <c r="R113" s="1">
        <f t="shared" si="32"/>
        <v>-0.26842105263157878</v>
      </c>
      <c r="S113" s="1">
        <f t="shared" si="33"/>
        <v>-0.28458498023715417</v>
      </c>
      <c r="T113" s="1">
        <f t="shared" si="34"/>
        <v>-2.6737967914438499E-2</v>
      </c>
      <c r="U113" s="1">
        <f t="shared" si="35"/>
        <v>0.17525773195876293</v>
      </c>
      <c r="V113" s="1">
        <f t="shared" si="36"/>
        <v>-0.56521739130434789</v>
      </c>
      <c r="W113" s="1">
        <f t="shared" si="37"/>
        <v>-0.51724137931034486</v>
      </c>
      <c r="X113" s="1">
        <f t="shared" si="38"/>
        <v>-0.36708860759493678</v>
      </c>
      <c r="Y113" s="1">
        <f t="shared" si="39"/>
        <v>1</v>
      </c>
      <c r="Z113" s="1">
        <f t="shared" si="40"/>
        <v>-0.36277602523659302</v>
      </c>
      <c r="AA113" s="1">
        <f t="shared" si="41"/>
        <v>-0.75767918088737196</v>
      </c>
      <c r="AB113" s="1">
        <f t="shared" si="42"/>
        <v>-0.38211382113821135</v>
      </c>
      <c r="AC113" s="1">
        <f t="shared" si="43"/>
        <v>0.487179487179487</v>
      </c>
      <c r="AD113" s="1">
        <f t="shared" si="44"/>
        <v>-0.94721825962910133</v>
      </c>
      <c r="AE113" s="1">
        <v>1</v>
      </c>
    </row>
    <row r="114" spans="2:31" x14ac:dyDescent="0.2">
      <c r="B114" s="1">
        <v>12.51</v>
      </c>
      <c r="C114" s="1">
        <v>1.73</v>
      </c>
      <c r="D114" s="1">
        <v>1.98</v>
      </c>
      <c r="E114" s="1">
        <v>20.5</v>
      </c>
      <c r="F114" s="1">
        <v>85</v>
      </c>
      <c r="G114" s="1">
        <v>2.2000000000000002</v>
      </c>
      <c r="H114" s="1">
        <v>1.92</v>
      </c>
      <c r="I114" s="1">
        <v>0.32</v>
      </c>
      <c r="J114" s="1">
        <v>1.48</v>
      </c>
      <c r="K114" s="1">
        <v>2.94</v>
      </c>
      <c r="L114" s="1">
        <v>1.04</v>
      </c>
      <c r="M114" s="1">
        <v>3.57</v>
      </c>
      <c r="N114" s="1">
        <v>672</v>
      </c>
      <c r="O114" s="1">
        <v>1</v>
      </c>
      <c r="R114" s="1">
        <f t="shared" si="32"/>
        <v>-0.35789473684210504</v>
      </c>
      <c r="S114" s="1">
        <f t="shared" si="33"/>
        <v>-0.60869565217391308</v>
      </c>
      <c r="T114" s="1">
        <f t="shared" si="34"/>
        <v>-0.18716577540106949</v>
      </c>
      <c r="U114" s="1">
        <f t="shared" si="35"/>
        <v>-0.13402061855670089</v>
      </c>
      <c r="V114" s="1">
        <f t="shared" si="36"/>
        <v>-0.78260869565217395</v>
      </c>
      <c r="W114" s="1">
        <f t="shared" si="37"/>
        <v>-0.53793103448275859</v>
      </c>
      <c r="X114" s="1">
        <f t="shared" si="38"/>
        <v>-0.28691983122362885</v>
      </c>
      <c r="Y114" s="1">
        <f t="shared" si="39"/>
        <v>-9.4339622641509524E-2</v>
      </c>
      <c r="Z114" s="1">
        <f t="shared" si="40"/>
        <v>-0.2302839116719243</v>
      </c>
      <c r="AA114" s="1">
        <f t="shared" si="41"/>
        <v>-0.63822525597269619</v>
      </c>
      <c r="AB114" s="1">
        <f t="shared" si="42"/>
        <v>-0.15447154471544711</v>
      </c>
      <c r="AC114" s="1">
        <f t="shared" si="43"/>
        <v>0.39194139194139188</v>
      </c>
      <c r="AD114" s="1">
        <f t="shared" si="44"/>
        <v>-0.66904422253922968</v>
      </c>
      <c r="AE114" s="1">
        <v>1</v>
      </c>
    </row>
    <row r="115" spans="2:31" x14ac:dyDescent="0.2">
      <c r="B115" s="1">
        <v>12.42</v>
      </c>
      <c r="C115" s="1">
        <v>2.5499999999999998</v>
      </c>
      <c r="D115" s="1">
        <v>2.27</v>
      </c>
      <c r="E115" s="1">
        <v>22</v>
      </c>
      <c r="F115" s="1">
        <v>90</v>
      </c>
      <c r="G115" s="1">
        <v>1.68</v>
      </c>
      <c r="H115" s="1">
        <v>1.84</v>
      </c>
      <c r="I115" s="1">
        <v>0.66</v>
      </c>
      <c r="J115" s="1">
        <v>1.42</v>
      </c>
      <c r="K115" s="1">
        <v>2.7</v>
      </c>
      <c r="L115" s="1">
        <v>0.86</v>
      </c>
      <c r="M115" s="1">
        <v>3.3</v>
      </c>
      <c r="N115" s="1">
        <v>315</v>
      </c>
      <c r="O115" s="1">
        <v>1</v>
      </c>
      <c r="R115" s="1">
        <f t="shared" si="32"/>
        <v>-0.11052631578947314</v>
      </c>
      <c r="S115" s="1">
        <f t="shared" si="33"/>
        <v>-0.60079051383399207</v>
      </c>
      <c r="T115" s="1">
        <f t="shared" si="34"/>
        <v>-1.6042780748663388E-2</v>
      </c>
      <c r="U115" s="1">
        <f t="shared" si="35"/>
        <v>0.22680412371134029</v>
      </c>
      <c r="V115" s="1">
        <f t="shared" si="36"/>
        <v>-0.69565217391304346</v>
      </c>
      <c r="W115" s="1">
        <f t="shared" si="37"/>
        <v>-0.72413793103448287</v>
      </c>
      <c r="X115" s="1">
        <f t="shared" si="38"/>
        <v>-0.40084388185654019</v>
      </c>
      <c r="Y115" s="1">
        <f t="shared" si="39"/>
        <v>0.320754716981132</v>
      </c>
      <c r="Z115" s="1">
        <f t="shared" si="40"/>
        <v>-0.2302839116719243</v>
      </c>
      <c r="AA115" s="1">
        <f t="shared" si="41"/>
        <v>-0.65529010238907859</v>
      </c>
      <c r="AB115" s="1">
        <f t="shared" si="42"/>
        <v>-0.34959349593495925</v>
      </c>
      <c r="AC115" s="1">
        <f t="shared" si="43"/>
        <v>-0.15750915750915762</v>
      </c>
      <c r="AD115" s="1">
        <f t="shared" si="44"/>
        <v>-0.70042796005706132</v>
      </c>
      <c r="AE115" s="1">
        <v>1</v>
      </c>
    </row>
    <row r="116" spans="2:31" x14ac:dyDescent="0.2">
      <c r="B116" s="1">
        <v>12.25</v>
      </c>
      <c r="C116" s="1">
        <v>1.73</v>
      </c>
      <c r="D116" s="1">
        <v>2.12</v>
      </c>
      <c r="E116" s="1">
        <v>19</v>
      </c>
      <c r="F116" s="1">
        <v>80</v>
      </c>
      <c r="G116" s="1">
        <v>1.65</v>
      </c>
      <c r="H116" s="1">
        <v>2.0299999999999998</v>
      </c>
      <c r="I116" s="1">
        <v>0.37</v>
      </c>
      <c r="J116" s="1">
        <v>1.63</v>
      </c>
      <c r="K116" s="1">
        <v>3.4</v>
      </c>
      <c r="L116" s="1">
        <v>1</v>
      </c>
      <c r="M116" s="1">
        <v>3.17</v>
      </c>
      <c r="N116" s="1">
        <v>510</v>
      </c>
      <c r="O116" s="1">
        <v>1</v>
      </c>
      <c r="R116" s="1">
        <f t="shared" si="32"/>
        <v>-0.37368421052631529</v>
      </c>
      <c r="S116" s="1">
        <f t="shared" si="33"/>
        <v>-0.78260869565217384</v>
      </c>
      <c r="T116" s="1">
        <f t="shared" si="34"/>
        <v>-0.37967914438502681</v>
      </c>
      <c r="U116" s="1">
        <f t="shared" si="35"/>
        <v>-0.13402061855670089</v>
      </c>
      <c r="V116" s="1">
        <f t="shared" si="36"/>
        <v>-0.52173913043478259</v>
      </c>
      <c r="W116" s="1">
        <f t="shared" si="37"/>
        <v>-4.8275862068965614E-2</v>
      </c>
      <c r="X116" s="1">
        <f t="shared" si="38"/>
        <v>-0.28270042194092837</v>
      </c>
      <c r="Y116" s="1">
        <f t="shared" si="39"/>
        <v>-1.8867924528301883E-2</v>
      </c>
      <c r="Z116" s="1">
        <f t="shared" si="40"/>
        <v>5.3627760252366041E-2</v>
      </c>
      <c r="AA116" s="1">
        <f t="shared" si="41"/>
        <v>-0.75767918088737196</v>
      </c>
      <c r="AB116" s="1">
        <f t="shared" si="42"/>
        <v>-0.38211382113821135</v>
      </c>
      <c r="AC116" s="1">
        <f t="shared" si="43"/>
        <v>0.28205128205128216</v>
      </c>
      <c r="AD116" s="1">
        <f t="shared" si="44"/>
        <v>-0.95149786019971472</v>
      </c>
      <c r="AE116" s="1">
        <v>1</v>
      </c>
    </row>
    <row r="117" spans="2:31" x14ac:dyDescent="0.2">
      <c r="B117" s="1">
        <v>12.72</v>
      </c>
      <c r="C117" s="1">
        <v>1.75</v>
      </c>
      <c r="D117" s="1">
        <v>2.2799999999999998</v>
      </c>
      <c r="E117" s="1">
        <v>22.5</v>
      </c>
      <c r="F117" s="1">
        <v>84</v>
      </c>
      <c r="G117" s="1">
        <v>1.38</v>
      </c>
      <c r="H117" s="1">
        <v>1.76</v>
      </c>
      <c r="I117" s="1">
        <v>0.48</v>
      </c>
      <c r="J117" s="1">
        <v>1.63</v>
      </c>
      <c r="K117" s="1">
        <v>3.3</v>
      </c>
      <c r="L117" s="1">
        <v>0.88</v>
      </c>
      <c r="M117" s="1">
        <v>2.42</v>
      </c>
      <c r="N117" s="1">
        <v>488</v>
      </c>
      <c r="O117" s="1">
        <v>1</v>
      </c>
      <c r="R117" s="1">
        <f t="shared" si="32"/>
        <v>-0.6947368421052631</v>
      </c>
      <c r="S117" s="1">
        <f t="shared" si="33"/>
        <v>-0.75889328063241102</v>
      </c>
      <c r="T117" s="1">
        <f t="shared" si="34"/>
        <v>0.43315508021390392</v>
      </c>
      <c r="U117" s="1">
        <f t="shared" si="35"/>
        <v>-3.0927835051546282E-2</v>
      </c>
      <c r="V117" s="1">
        <f t="shared" si="36"/>
        <v>-0.47826086956521741</v>
      </c>
      <c r="W117" s="1">
        <f t="shared" si="37"/>
        <v>0.21379310344827607</v>
      </c>
      <c r="X117" s="1">
        <f t="shared" si="38"/>
        <v>8.8607594936708889E-2</v>
      </c>
      <c r="Y117" s="1">
        <f t="shared" si="39"/>
        <v>-0.39622641509433976</v>
      </c>
      <c r="Z117" s="1">
        <f t="shared" si="40"/>
        <v>0.3123028391167193</v>
      </c>
      <c r="AA117" s="1">
        <f t="shared" si="41"/>
        <v>-0.7662116040955631</v>
      </c>
      <c r="AB117" s="1">
        <f t="shared" si="42"/>
        <v>-0.21951219512195119</v>
      </c>
      <c r="AC117" s="1">
        <f t="shared" si="43"/>
        <v>0.4578754578754578</v>
      </c>
      <c r="AD117" s="1">
        <f t="shared" si="44"/>
        <v>-0.42653352353780316</v>
      </c>
      <c r="AE117" s="1">
        <v>1</v>
      </c>
    </row>
    <row r="118" spans="2:31" x14ac:dyDescent="0.2">
      <c r="B118" s="1">
        <v>12.22</v>
      </c>
      <c r="C118" s="1">
        <v>1.29</v>
      </c>
      <c r="D118" s="1">
        <v>1.94</v>
      </c>
      <c r="E118" s="1">
        <v>19</v>
      </c>
      <c r="F118" s="1">
        <v>92</v>
      </c>
      <c r="G118" s="1">
        <v>2.36</v>
      </c>
      <c r="H118" s="1">
        <v>2.04</v>
      </c>
      <c r="I118" s="1">
        <v>0.39</v>
      </c>
      <c r="J118" s="1">
        <v>2.08</v>
      </c>
      <c r="K118" s="1">
        <v>2.7</v>
      </c>
      <c r="L118" s="1">
        <v>0.86</v>
      </c>
      <c r="M118" s="1">
        <v>3.02</v>
      </c>
      <c r="N118" s="1">
        <v>312</v>
      </c>
      <c r="O118" s="1">
        <v>1</v>
      </c>
      <c r="R118" s="1">
        <f t="shared" si="32"/>
        <v>-0.77368421052631509</v>
      </c>
      <c r="S118" s="1">
        <f t="shared" si="33"/>
        <v>0.18577075098814233</v>
      </c>
      <c r="T118" s="1">
        <f t="shared" si="34"/>
        <v>-0.50802139037433158</v>
      </c>
      <c r="U118" s="1">
        <f t="shared" si="35"/>
        <v>-8.247422680412364E-2</v>
      </c>
      <c r="V118" s="1">
        <f t="shared" si="36"/>
        <v>-0.19565217391304346</v>
      </c>
      <c r="W118" s="1">
        <f t="shared" si="37"/>
        <v>0.51724137931034497</v>
      </c>
      <c r="X118" s="1">
        <f t="shared" si="38"/>
        <v>-5.4852320675105481E-2</v>
      </c>
      <c r="Y118" s="1">
        <f t="shared" si="39"/>
        <v>-0.58490566037735858</v>
      </c>
      <c r="Z118" s="1">
        <f t="shared" si="40"/>
        <v>1</v>
      </c>
      <c r="AA118" s="1">
        <f t="shared" si="41"/>
        <v>-0.72354948805460761</v>
      </c>
      <c r="AB118" s="1">
        <f t="shared" si="42"/>
        <v>-0.5609756097560975</v>
      </c>
      <c r="AC118" s="1">
        <f t="shared" si="43"/>
        <v>0.12820512820512819</v>
      </c>
      <c r="AD118" s="1">
        <f t="shared" si="44"/>
        <v>-0.59486447931526398</v>
      </c>
      <c r="AE118" s="1">
        <v>1</v>
      </c>
    </row>
    <row r="119" spans="2:31" x14ac:dyDescent="0.2">
      <c r="B119" s="1">
        <v>11.61</v>
      </c>
      <c r="C119" s="1">
        <v>1.35</v>
      </c>
      <c r="D119" s="1">
        <v>2.7</v>
      </c>
      <c r="E119" s="1">
        <v>20</v>
      </c>
      <c r="F119" s="1">
        <v>94</v>
      </c>
      <c r="G119" s="1">
        <v>2.74</v>
      </c>
      <c r="H119" s="1">
        <v>2.92</v>
      </c>
      <c r="I119" s="1">
        <v>0.28999999999999998</v>
      </c>
      <c r="J119" s="1">
        <v>2.4900000000000002</v>
      </c>
      <c r="K119" s="1">
        <v>2.65</v>
      </c>
      <c r="L119" s="1">
        <v>0.96</v>
      </c>
      <c r="M119" s="1">
        <v>3.26</v>
      </c>
      <c r="N119" s="1">
        <v>680</v>
      </c>
      <c r="O119" s="1">
        <v>1</v>
      </c>
      <c r="R119" s="1">
        <f t="shared" si="32"/>
        <v>-0.21578947368421053</v>
      </c>
      <c r="S119" s="1">
        <f t="shared" si="33"/>
        <v>-0.3320158102766797</v>
      </c>
      <c r="T119" s="1">
        <f t="shared" si="34"/>
        <v>-0.1336898395721926</v>
      </c>
      <c r="U119" s="1">
        <f t="shared" si="35"/>
        <v>7.2164948453608435E-2</v>
      </c>
      <c r="V119" s="1">
        <f t="shared" si="36"/>
        <v>-0.60869565217391308</v>
      </c>
      <c r="W119" s="1">
        <f t="shared" si="37"/>
        <v>8.2758620689655116E-2</v>
      </c>
      <c r="X119" s="1">
        <f t="shared" si="38"/>
        <v>-0.18565400843881863</v>
      </c>
      <c r="Y119" s="1">
        <f t="shared" si="39"/>
        <v>-0.50943396226415094</v>
      </c>
      <c r="Z119" s="1">
        <f t="shared" si="40"/>
        <v>-0.48895899053627756</v>
      </c>
      <c r="AA119" s="1">
        <f t="shared" si="41"/>
        <v>-0.87713310580204784</v>
      </c>
      <c r="AB119" s="1">
        <f t="shared" si="42"/>
        <v>-0.31707317073170727</v>
      </c>
      <c r="AC119" s="1">
        <f t="shared" si="43"/>
        <v>0.10622710622710607</v>
      </c>
      <c r="AD119" s="1">
        <f t="shared" si="44"/>
        <v>-0.93295292439372324</v>
      </c>
      <c r="AE119" s="1">
        <v>1</v>
      </c>
    </row>
    <row r="120" spans="2:31" x14ac:dyDescent="0.2">
      <c r="B120" s="1">
        <v>11.46</v>
      </c>
      <c r="C120" s="1">
        <v>3.74</v>
      </c>
      <c r="D120" s="1">
        <v>1.82</v>
      </c>
      <c r="E120" s="1">
        <v>19.5</v>
      </c>
      <c r="F120" s="1">
        <v>107</v>
      </c>
      <c r="G120" s="1">
        <v>3.18</v>
      </c>
      <c r="H120" s="1">
        <v>2.58</v>
      </c>
      <c r="I120" s="1">
        <v>0.24</v>
      </c>
      <c r="J120" s="1">
        <v>3.58</v>
      </c>
      <c r="K120" s="1">
        <v>2.9</v>
      </c>
      <c r="L120" s="1">
        <v>0.75</v>
      </c>
      <c r="M120" s="1">
        <v>2.81</v>
      </c>
      <c r="N120" s="1">
        <v>562</v>
      </c>
      <c r="O120" s="1">
        <v>1</v>
      </c>
      <c r="R120" s="1">
        <f t="shared" si="32"/>
        <v>-0.61578947368421044</v>
      </c>
      <c r="S120" s="1">
        <f t="shared" si="33"/>
        <v>-0.23320158102766786</v>
      </c>
      <c r="T120" s="1">
        <f t="shared" si="34"/>
        <v>0.66844919786096257</v>
      </c>
      <c r="U120" s="1">
        <f t="shared" si="35"/>
        <v>-3.0927835051546282E-2</v>
      </c>
      <c r="V120" s="1">
        <f t="shared" si="36"/>
        <v>-0.28260869565217395</v>
      </c>
      <c r="W120" s="1">
        <f t="shared" si="37"/>
        <v>-0.46896551724137925</v>
      </c>
      <c r="X120" s="1">
        <f t="shared" si="38"/>
        <v>-0.28691983122362885</v>
      </c>
      <c r="Y120" s="1">
        <f t="shared" si="39"/>
        <v>0.77358490566037719</v>
      </c>
      <c r="Z120" s="1">
        <f t="shared" si="40"/>
        <v>-0.59621451104100931</v>
      </c>
      <c r="AA120" s="1">
        <f t="shared" si="41"/>
        <v>-0.56996587030716728</v>
      </c>
      <c r="AB120" s="1">
        <f t="shared" si="42"/>
        <v>0.21951219512195119</v>
      </c>
      <c r="AC120" s="1">
        <f t="shared" si="43"/>
        <v>-9.8901098901098883E-2</v>
      </c>
      <c r="AD120" s="1">
        <f t="shared" si="44"/>
        <v>-0.53067047075606277</v>
      </c>
      <c r="AE120" s="1">
        <v>1</v>
      </c>
    </row>
    <row r="121" spans="2:31" x14ac:dyDescent="0.2">
      <c r="B121" s="1">
        <v>12.52</v>
      </c>
      <c r="C121" s="1">
        <v>2.4300000000000002</v>
      </c>
      <c r="D121" s="1">
        <v>2.17</v>
      </c>
      <c r="E121" s="1">
        <v>21</v>
      </c>
      <c r="F121" s="1">
        <v>88</v>
      </c>
      <c r="G121" s="1">
        <v>2.5499999999999998</v>
      </c>
      <c r="H121" s="1">
        <v>2.27</v>
      </c>
      <c r="I121" s="1">
        <v>0.26</v>
      </c>
      <c r="J121" s="1">
        <v>1.22</v>
      </c>
      <c r="K121" s="1">
        <v>2</v>
      </c>
      <c r="L121" s="1">
        <v>0.9</v>
      </c>
      <c r="M121" s="1">
        <v>2.78</v>
      </c>
      <c r="N121" s="1">
        <v>325</v>
      </c>
      <c r="O121" s="1">
        <v>1</v>
      </c>
      <c r="R121" s="1">
        <f t="shared" si="32"/>
        <v>-0.7999999999999996</v>
      </c>
      <c r="S121" s="1">
        <f t="shared" si="33"/>
        <v>-1</v>
      </c>
      <c r="T121" s="1">
        <f t="shared" si="34"/>
        <v>0.21925133689839571</v>
      </c>
      <c r="U121" s="1">
        <f t="shared" si="35"/>
        <v>7.2164948453608435E-2</v>
      </c>
      <c r="V121" s="1">
        <f t="shared" si="36"/>
        <v>-0.60869565217391308</v>
      </c>
      <c r="W121" s="1">
        <f t="shared" si="37"/>
        <v>3.4482758620689724E-2</v>
      </c>
      <c r="X121" s="1">
        <f t="shared" si="38"/>
        <v>-0.2953586497890297</v>
      </c>
      <c r="Y121" s="1">
        <f t="shared" si="39"/>
        <v>9.4339622641509413E-2</v>
      </c>
      <c r="Z121" s="1">
        <f t="shared" si="40"/>
        <v>-0.35015772870662454</v>
      </c>
      <c r="AA121" s="1">
        <f t="shared" si="41"/>
        <v>-0.69283276450511944</v>
      </c>
      <c r="AB121" s="1">
        <f t="shared" si="42"/>
        <v>8.1300813008131634E-3</v>
      </c>
      <c r="AC121" s="1">
        <f t="shared" si="43"/>
        <v>-0.23809523809523803</v>
      </c>
      <c r="AD121" s="1">
        <f t="shared" si="44"/>
        <v>-0.77746077032810268</v>
      </c>
      <c r="AE121" s="1">
        <v>1</v>
      </c>
    </row>
    <row r="122" spans="2:31" x14ac:dyDescent="0.2">
      <c r="B122" s="1">
        <v>11.76</v>
      </c>
      <c r="C122" s="1">
        <v>2.68</v>
      </c>
      <c r="D122" s="1">
        <v>2.92</v>
      </c>
      <c r="E122" s="1">
        <v>20</v>
      </c>
      <c r="F122" s="1">
        <v>103</v>
      </c>
      <c r="G122" s="1">
        <v>1.75</v>
      </c>
      <c r="H122" s="1">
        <v>2.0299999999999998</v>
      </c>
      <c r="I122" s="1">
        <v>0.6</v>
      </c>
      <c r="J122" s="1">
        <v>1.05</v>
      </c>
      <c r="K122" s="1">
        <v>3.8</v>
      </c>
      <c r="L122" s="1">
        <v>1.23</v>
      </c>
      <c r="M122" s="1">
        <v>2.5</v>
      </c>
      <c r="N122" s="1">
        <v>607</v>
      </c>
      <c r="O122" s="1">
        <v>1</v>
      </c>
      <c r="R122" s="1">
        <f t="shared" si="32"/>
        <v>-0.4473684210526313</v>
      </c>
      <c r="S122" s="1">
        <f t="shared" si="33"/>
        <v>-0.74308300395256921</v>
      </c>
      <c r="T122" s="1">
        <f t="shared" si="34"/>
        <v>0.21925133689839571</v>
      </c>
      <c r="U122" s="1">
        <f t="shared" si="35"/>
        <v>0.22680412371134029</v>
      </c>
      <c r="V122" s="1">
        <f t="shared" si="36"/>
        <v>-0.69565217391304346</v>
      </c>
      <c r="W122" s="1">
        <f t="shared" si="37"/>
        <v>8.9655172413793283E-2</v>
      </c>
      <c r="X122" s="1">
        <f t="shared" si="38"/>
        <v>-0.17721518987341778</v>
      </c>
      <c r="Y122" s="1">
        <f t="shared" si="39"/>
        <v>0.13207547169811318</v>
      </c>
      <c r="Z122" s="1">
        <f t="shared" si="40"/>
        <v>-0.60252365930599361</v>
      </c>
      <c r="AA122" s="1">
        <f t="shared" si="41"/>
        <v>-0.72354948805460761</v>
      </c>
      <c r="AB122" s="1">
        <f t="shared" si="42"/>
        <v>-0.26829268292682917</v>
      </c>
      <c r="AC122" s="1">
        <f t="shared" si="43"/>
        <v>0.40659340659340648</v>
      </c>
      <c r="AD122" s="1">
        <f t="shared" si="44"/>
        <v>-0.84736091298145511</v>
      </c>
      <c r="AE122" s="1">
        <v>1</v>
      </c>
    </row>
    <row r="123" spans="2:31" x14ac:dyDescent="0.2">
      <c r="B123" s="1">
        <v>11.41</v>
      </c>
      <c r="C123" s="1">
        <v>0.74</v>
      </c>
      <c r="D123" s="1">
        <v>2.5</v>
      </c>
      <c r="E123" s="1">
        <v>21</v>
      </c>
      <c r="F123" s="1">
        <v>88</v>
      </c>
      <c r="G123" s="1">
        <v>2.48</v>
      </c>
      <c r="H123" s="1">
        <v>2.0099999999999998</v>
      </c>
      <c r="I123" s="1">
        <v>0.42</v>
      </c>
      <c r="J123" s="1">
        <v>1.44</v>
      </c>
      <c r="K123" s="1">
        <v>3.08</v>
      </c>
      <c r="L123" s="1">
        <v>1.1000000000000001</v>
      </c>
      <c r="M123" s="1">
        <v>2.31</v>
      </c>
      <c r="N123" s="1">
        <v>434</v>
      </c>
      <c r="O123" s="1">
        <v>1</v>
      </c>
      <c r="R123" s="1">
        <f t="shared" si="32"/>
        <v>-1</v>
      </c>
      <c r="S123" s="1">
        <f t="shared" si="33"/>
        <v>-0.69565217391304346</v>
      </c>
      <c r="T123" s="1">
        <f t="shared" si="34"/>
        <v>-0.10160427807486616</v>
      </c>
      <c r="U123" s="1">
        <f t="shared" si="35"/>
        <v>0.12371134020618579</v>
      </c>
      <c r="V123" s="1">
        <f t="shared" si="36"/>
        <v>-0.67391304347826086</v>
      </c>
      <c r="W123" s="1">
        <f t="shared" si="37"/>
        <v>2.0689655172413834E-2</v>
      </c>
      <c r="X123" s="1">
        <f t="shared" si="38"/>
        <v>-0.22784810126582289</v>
      </c>
      <c r="Y123" s="1">
        <f t="shared" si="39"/>
        <v>0.47169811320754707</v>
      </c>
      <c r="Z123" s="1">
        <f t="shared" si="40"/>
        <v>9.4637223974762819E-3</v>
      </c>
      <c r="AA123" s="1">
        <f t="shared" si="41"/>
        <v>-0.89419795221843001</v>
      </c>
      <c r="AB123" s="1">
        <f t="shared" si="42"/>
        <v>1</v>
      </c>
      <c r="AC123" s="1">
        <f t="shared" si="43"/>
        <v>0.17216117216117222</v>
      </c>
      <c r="AD123" s="1">
        <f t="shared" si="44"/>
        <v>-0.81597717546362336</v>
      </c>
      <c r="AE123" s="1">
        <v>1</v>
      </c>
    </row>
    <row r="124" spans="2:31" x14ac:dyDescent="0.2">
      <c r="B124" s="1">
        <v>12.08</v>
      </c>
      <c r="C124" s="1">
        <v>1.39</v>
      </c>
      <c r="D124" s="1">
        <v>2.5</v>
      </c>
      <c r="E124" s="1">
        <v>22.5</v>
      </c>
      <c r="F124" s="1">
        <v>84</v>
      </c>
      <c r="G124" s="1">
        <v>2.56</v>
      </c>
      <c r="H124" s="1">
        <v>2.29</v>
      </c>
      <c r="I124" s="1">
        <v>0.43</v>
      </c>
      <c r="J124" s="1">
        <v>1.04</v>
      </c>
      <c r="K124" s="1">
        <v>2.9</v>
      </c>
      <c r="L124" s="1">
        <v>0.93</v>
      </c>
      <c r="M124" s="1">
        <v>3.19</v>
      </c>
      <c r="N124" s="1">
        <v>385</v>
      </c>
      <c r="O124" s="1">
        <v>1</v>
      </c>
      <c r="R124" s="1">
        <f t="shared" si="32"/>
        <v>-0.58421052631578907</v>
      </c>
      <c r="S124" s="1">
        <f t="shared" si="33"/>
        <v>-0.71146245059288538</v>
      </c>
      <c r="T124" s="1">
        <f t="shared" si="34"/>
        <v>-0.32620320855614982</v>
      </c>
      <c r="U124" s="1">
        <f t="shared" si="35"/>
        <v>5.1546391752577581E-2</v>
      </c>
      <c r="V124" s="1">
        <f t="shared" si="36"/>
        <v>-0.65217391304347827</v>
      </c>
      <c r="W124" s="1">
        <f t="shared" si="37"/>
        <v>-0.31034482758620685</v>
      </c>
      <c r="X124" s="1">
        <f t="shared" si="38"/>
        <v>-0.46835443037974689</v>
      </c>
      <c r="Y124" s="1">
        <f t="shared" si="39"/>
        <v>-0.35849056603773599</v>
      </c>
      <c r="Z124" s="1">
        <f t="shared" si="40"/>
        <v>-0.29337539432176651</v>
      </c>
      <c r="AA124" s="1">
        <f t="shared" si="41"/>
        <v>-0.88566552901023887</v>
      </c>
      <c r="AB124" s="1">
        <f t="shared" si="42"/>
        <v>-0.2357723577235773</v>
      </c>
      <c r="AC124" s="1">
        <f t="shared" si="43"/>
        <v>0.50915750915750912</v>
      </c>
      <c r="AD124" s="1">
        <f t="shared" si="44"/>
        <v>-0.69044222539229672</v>
      </c>
      <c r="AE124" s="1">
        <v>1</v>
      </c>
    </row>
    <row r="125" spans="2:31" x14ac:dyDescent="0.2">
      <c r="B125" s="1">
        <v>11.03</v>
      </c>
      <c r="C125" s="1">
        <v>1.51</v>
      </c>
      <c r="D125" s="1">
        <v>2.2000000000000002</v>
      </c>
      <c r="E125" s="1">
        <v>21.5</v>
      </c>
      <c r="F125" s="1">
        <v>85</v>
      </c>
      <c r="G125" s="1">
        <v>2.46</v>
      </c>
      <c r="H125" s="1">
        <v>2.17</v>
      </c>
      <c r="I125" s="1">
        <v>0.52</v>
      </c>
      <c r="J125" s="1">
        <v>2.0099999999999998</v>
      </c>
      <c r="K125" s="1">
        <v>1.9</v>
      </c>
      <c r="L125" s="1">
        <v>1.71</v>
      </c>
      <c r="M125" s="1">
        <v>2.87</v>
      </c>
      <c r="N125" s="1">
        <v>407</v>
      </c>
      <c r="O125" s="1">
        <v>1</v>
      </c>
      <c r="R125" s="1">
        <f t="shared" si="32"/>
        <v>-0.26842105263157878</v>
      </c>
      <c r="S125" s="1">
        <f t="shared" si="33"/>
        <v>-0.65612648221343872</v>
      </c>
      <c r="T125" s="1">
        <f t="shared" si="34"/>
        <v>-0.11229946524064183</v>
      </c>
      <c r="U125" s="1">
        <f t="shared" si="35"/>
        <v>0.22680412371134029</v>
      </c>
      <c r="V125" s="1">
        <f t="shared" si="36"/>
        <v>-0.17391304347826086</v>
      </c>
      <c r="W125" s="1">
        <f t="shared" si="37"/>
        <v>-0.29655172413793096</v>
      </c>
      <c r="X125" s="1">
        <f t="shared" si="38"/>
        <v>-0.2616033755274263</v>
      </c>
      <c r="Y125" s="1">
        <f t="shared" si="39"/>
        <v>-0.20754716981132071</v>
      </c>
      <c r="Z125" s="1">
        <f t="shared" si="40"/>
        <v>-0.24290220820189257</v>
      </c>
      <c r="AA125" s="1">
        <f t="shared" si="41"/>
        <v>-0.86689419795221845</v>
      </c>
      <c r="AB125" s="1">
        <f t="shared" si="42"/>
        <v>-5.6910569105690922E-2</v>
      </c>
      <c r="AC125" s="1">
        <f t="shared" si="43"/>
        <v>0.23809523809523814</v>
      </c>
      <c r="AD125" s="1">
        <f t="shared" si="44"/>
        <v>-0.90442225392296716</v>
      </c>
      <c r="AE125" s="1">
        <v>1</v>
      </c>
    </row>
    <row r="126" spans="2:31" x14ac:dyDescent="0.2">
      <c r="B126" s="1">
        <v>11.82</v>
      </c>
      <c r="C126" s="1">
        <v>1.47</v>
      </c>
      <c r="D126" s="1">
        <v>1.99</v>
      </c>
      <c r="E126" s="1">
        <v>20.8</v>
      </c>
      <c r="F126" s="1">
        <v>86</v>
      </c>
      <c r="G126" s="1">
        <v>1.98</v>
      </c>
      <c r="H126" s="1">
        <v>1.6</v>
      </c>
      <c r="I126" s="1">
        <v>0.3</v>
      </c>
      <c r="J126" s="1">
        <v>1.53</v>
      </c>
      <c r="K126" s="1">
        <v>1.95</v>
      </c>
      <c r="L126" s="1">
        <v>0.95</v>
      </c>
      <c r="M126" s="1">
        <v>3.33</v>
      </c>
      <c r="N126" s="1">
        <v>495</v>
      </c>
      <c r="O126" s="1">
        <v>1</v>
      </c>
      <c r="R126" s="1">
        <f t="shared" si="32"/>
        <v>-8.4210526315789513E-2</v>
      </c>
      <c r="S126" s="1">
        <f t="shared" si="33"/>
        <v>6.324110671936789E-2</v>
      </c>
      <c r="T126" s="1">
        <f t="shared" si="34"/>
        <v>-0.33689839572192526</v>
      </c>
      <c r="U126" s="1">
        <f t="shared" si="35"/>
        <v>-0.44329896907216482</v>
      </c>
      <c r="V126" s="1">
        <f t="shared" si="36"/>
        <v>-0.78260869565217395</v>
      </c>
      <c r="W126" s="1">
        <f t="shared" si="37"/>
        <v>-0.55172413793103448</v>
      </c>
      <c r="X126" s="1">
        <f t="shared" si="38"/>
        <v>-0.61603375527426163</v>
      </c>
      <c r="Y126" s="1">
        <f t="shared" si="39"/>
        <v>0.13207547169811318</v>
      </c>
      <c r="Z126" s="1">
        <f t="shared" si="40"/>
        <v>-0.73501577287066244</v>
      </c>
      <c r="AA126" s="1">
        <f t="shared" si="41"/>
        <v>-0.63822525597269619</v>
      </c>
      <c r="AB126" s="1">
        <f t="shared" si="42"/>
        <v>-0.64227642276422769</v>
      </c>
      <c r="AC126" s="1">
        <f t="shared" si="43"/>
        <v>-0.37728937728937717</v>
      </c>
      <c r="AD126" s="1">
        <f t="shared" si="44"/>
        <v>-0.86590584878744647</v>
      </c>
      <c r="AE126" s="1">
        <v>1</v>
      </c>
    </row>
    <row r="127" spans="2:31" x14ac:dyDescent="0.2">
      <c r="B127" s="1">
        <v>12.42</v>
      </c>
      <c r="C127" s="1">
        <v>1.61</v>
      </c>
      <c r="D127" s="1">
        <v>2.19</v>
      </c>
      <c r="E127" s="1">
        <v>22.5</v>
      </c>
      <c r="F127" s="1">
        <v>108</v>
      </c>
      <c r="G127" s="1">
        <v>2</v>
      </c>
      <c r="H127" s="1">
        <v>2.09</v>
      </c>
      <c r="I127" s="1">
        <v>0.34</v>
      </c>
      <c r="J127" s="1">
        <v>1.61</v>
      </c>
      <c r="K127" s="1">
        <v>2.06</v>
      </c>
      <c r="L127" s="1">
        <v>1.06</v>
      </c>
      <c r="M127" s="1">
        <v>2.96</v>
      </c>
      <c r="N127" s="1">
        <v>345</v>
      </c>
      <c r="O127" s="1">
        <v>1</v>
      </c>
      <c r="R127" s="1">
        <f t="shared" si="32"/>
        <v>-0.48947368421052606</v>
      </c>
      <c r="S127" s="1">
        <f t="shared" si="33"/>
        <v>6.324110671936789E-2</v>
      </c>
      <c r="T127" s="1">
        <f t="shared" si="34"/>
        <v>-0.31550802139037437</v>
      </c>
      <c r="U127" s="1">
        <f t="shared" si="35"/>
        <v>-0.13402061855670089</v>
      </c>
      <c r="V127" s="1">
        <f t="shared" si="36"/>
        <v>-0.63043478260869568</v>
      </c>
      <c r="W127" s="1">
        <f t="shared" si="37"/>
        <v>-0.29655172413793096</v>
      </c>
      <c r="X127" s="1">
        <f t="shared" si="38"/>
        <v>-0.4514767932489453</v>
      </c>
      <c r="Y127" s="1">
        <f t="shared" si="39"/>
        <v>-9.4339622641509524E-2</v>
      </c>
      <c r="Z127" s="1">
        <f t="shared" si="40"/>
        <v>-7.8864353312302682E-2</v>
      </c>
      <c r="AA127" s="1">
        <f t="shared" si="41"/>
        <v>-1</v>
      </c>
      <c r="AB127" s="1">
        <f t="shared" si="42"/>
        <v>-0.26829268292682917</v>
      </c>
      <c r="AC127" s="1">
        <f t="shared" si="43"/>
        <v>0.30402930402930384</v>
      </c>
      <c r="AD127" s="1">
        <f t="shared" si="44"/>
        <v>-0.59201141226818832</v>
      </c>
      <c r="AE127" s="1">
        <v>1</v>
      </c>
    </row>
    <row r="128" spans="2:31" x14ac:dyDescent="0.2">
      <c r="B128" s="1">
        <v>12.77</v>
      </c>
      <c r="C128" s="1">
        <v>3.43</v>
      </c>
      <c r="D128" s="1">
        <v>1.98</v>
      </c>
      <c r="E128" s="1">
        <v>16</v>
      </c>
      <c r="F128" s="1">
        <v>80</v>
      </c>
      <c r="G128" s="1">
        <v>1.63</v>
      </c>
      <c r="H128" s="1">
        <v>1.25</v>
      </c>
      <c r="I128" s="1">
        <v>0.43</v>
      </c>
      <c r="J128" s="1">
        <v>0.83</v>
      </c>
      <c r="K128" s="1">
        <v>3.4</v>
      </c>
      <c r="L128" s="1">
        <v>0.7</v>
      </c>
      <c r="M128" s="1">
        <v>2.12</v>
      </c>
      <c r="N128" s="1">
        <v>372</v>
      </c>
      <c r="O128" s="1">
        <v>1</v>
      </c>
      <c r="R128" s="1">
        <f t="shared" si="32"/>
        <v>-0.77894736842105272</v>
      </c>
      <c r="S128" s="1">
        <f t="shared" si="33"/>
        <v>-0.34387351778656128</v>
      </c>
      <c r="T128" s="1">
        <f t="shared" si="34"/>
        <v>0.13368983957219238</v>
      </c>
      <c r="U128" s="1">
        <f t="shared" si="35"/>
        <v>-3.0927835051546282E-2</v>
      </c>
      <c r="V128" s="1">
        <f t="shared" si="36"/>
        <v>-0.43478260869565222</v>
      </c>
      <c r="W128" s="1">
        <f t="shared" si="37"/>
        <v>0.32413793103448274</v>
      </c>
      <c r="X128" s="1">
        <f t="shared" si="38"/>
        <v>3.3755274261603407E-2</v>
      </c>
      <c r="Y128" s="1">
        <f t="shared" si="39"/>
        <v>-0.28301886792452835</v>
      </c>
      <c r="Z128" s="1">
        <f t="shared" si="40"/>
        <v>-0.10410094637223966</v>
      </c>
      <c r="AA128" s="1">
        <f t="shared" si="41"/>
        <v>-0.66382252559726962</v>
      </c>
      <c r="AB128" s="1">
        <f t="shared" si="42"/>
        <v>-0.47967479674796742</v>
      </c>
      <c r="AC128" s="1">
        <f t="shared" si="43"/>
        <v>0.55311355311355315</v>
      </c>
      <c r="AD128" s="1">
        <f t="shared" si="44"/>
        <v>-0.50499286733238224</v>
      </c>
      <c r="AE128" s="1">
        <v>1</v>
      </c>
    </row>
    <row r="129" spans="2:31" x14ac:dyDescent="0.2">
      <c r="B129" s="1">
        <v>12</v>
      </c>
      <c r="C129" s="1">
        <v>3.43</v>
      </c>
      <c r="D129" s="1">
        <v>2</v>
      </c>
      <c r="E129" s="1">
        <v>19</v>
      </c>
      <c r="F129" s="1">
        <v>87</v>
      </c>
      <c r="G129" s="1">
        <v>2</v>
      </c>
      <c r="H129" s="1">
        <v>1.64</v>
      </c>
      <c r="I129" s="1">
        <v>0.37</v>
      </c>
      <c r="J129" s="1">
        <v>1.87</v>
      </c>
      <c r="K129" s="1">
        <v>1.28</v>
      </c>
      <c r="L129" s="1">
        <v>0.93</v>
      </c>
      <c r="M129" s="1">
        <v>3.05</v>
      </c>
      <c r="N129" s="1">
        <v>564</v>
      </c>
      <c r="O129" s="1">
        <v>1</v>
      </c>
      <c r="R129" s="1">
        <f t="shared" si="32"/>
        <v>-0.72105263157894683</v>
      </c>
      <c r="S129" s="1">
        <f t="shared" si="33"/>
        <v>-0.48221343873517786</v>
      </c>
      <c r="T129" s="1">
        <f t="shared" si="34"/>
        <v>1</v>
      </c>
      <c r="U129" s="1">
        <f t="shared" si="35"/>
        <v>0.84536082474226792</v>
      </c>
      <c r="V129" s="1">
        <f t="shared" si="36"/>
        <v>6.5217391304347894E-2</v>
      </c>
      <c r="W129" s="1">
        <f t="shared" si="37"/>
        <v>0.51724137931034497</v>
      </c>
      <c r="X129" s="1">
        <f t="shared" si="38"/>
        <v>1</v>
      </c>
      <c r="Y129" s="1">
        <f t="shared" si="39"/>
        <v>0.28301886792452802</v>
      </c>
      <c r="Z129" s="1">
        <f t="shared" si="40"/>
        <v>-7.8864353312302682E-2</v>
      </c>
      <c r="AA129" s="1">
        <f t="shared" si="41"/>
        <v>-0.1945392491467578</v>
      </c>
      <c r="AB129" s="1">
        <f t="shared" si="42"/>
        <v>-0.26829268292682917</v>
      </c>
      <c r="AC129" s="1">
        <f t="shared" si="43"/>
        <v>0.77289377289377281</v>
      </c>
      <c r="AD129" s="1">
        <f t="shared" si="44"/>
        <v>-0.73323823109843089</v>
      </c>
      <c r="AE129" s="1">
        <v>1</v>
      </c>
    </row>
    <row r="130" spans="2:31" x14ac:dyDescent="0.2">
      <c r="B130" s="1">
        <v>11.45</v>
      </c>
      <c r="C130" s="1">
        <v>2.4</v>
      </c>
      <c r="D130" s="1">
        <v>2.42</v>
      </c>
      <c r="E130" s="1">
        <v>20</v>
      </c>
      <c r="F130" s="1">
        <v>96</v>
      </c>
      <c r="G130" s="1">
        <v>2.9</v>
      </c>
      <c r="H130" s="1">
        <v>2.79</v>
      </c>
      <c r="I130" s="1">
        <v>0.32</v>
      </c>
      <c r="J130" s="1">
        <v>1.83</v>
      </c>
      <c r="K130" s="1">
        <v>3.25</v>
      </c>
      <c r="L130" s="1">
        <v>0.8</v>
      </c>
      <c r="M130" s="1">
        <v>3.39</v>
      </c>
      <c r="N130" s="1">
        <v>625</v>
      </c>
      <c r="O130" s="1">
        <v>1</v>
      </c>
      <c r="R130" s="1">
        <f t="shared" si="32"/>
        <v>-0.26842105263157878</v>
      </c>
      <c r="S130" s="1">
        <f t="shared" si="33"/>
        <v>0.45849802371541504</v>
      </c>
      <c r="T130" s="1">
        <f t="shared" si="34"/>
        <v>0.46524064171122981</v>
      </c>
      <c r="U130" s="1">
        <f t="shared" si="35"/>
        <v>0.63917525773195893</v>
      </c>
      <c r="V130" s="1">
        <f t="shared" si="36"/>
        <v>-0.30434782608695654</v>
      </c>
      <c r="W130" s="1">
        <f t="shared" si="37"/>
        <v>-0.15862068965517229</v>
      </c>
      <c r="X130" s="1">
        <f t="shared" si="38"/>
        <v>-0.24472573839662459</v>
      </c>
      <c r="Y130" s="1">
        <f t="shared" si="39"/>
        <v>0.13207547169811318</v>
      </c>
      <c r="Z130" s="1">
        <f t="shared" si="40"/>
        <v>-0.17981072555205047</v>
      </c>
      <c r="AA130" s="1">
        <f t="shared" si="41"/>
        <v>-0.86348122866894195</v>
      </c>
      <c r="AB130" s="1">
        <f t="shared" si="42"/>
        <v>-0.28455284552845517</v>
      </c>
      <c r="AC130" s="1">
        <f t="shared" si="43"/>
        <v>0.35531135531135538</v>
      </c>
      <c r="AD130" s="1">
        <f t="shared" si="44"/>
        <v>-0.87589158345221119</v>
      </c>
      <c r="AE130" s="1">
        <v>1</v>
      </c>
    </row>
    <row r="131" spans="2:31" x14ac:dyDescent="0.2">
      <c r="B131" s="1">
        <v>11.56</v>
      </c>
      <c r="C131" s="1">
        <v>2.0499999999999998</v>
      </c>
      <c r="D131" s="1">
        <v>3.23</v>
      </c>
      <c r="E131" s="1">
        <v>28.5</v>
      </c>
      <c r="F131" s="1">
        <v>119</v>
      </c>
      <c r="G131" s="1">
        <v>3.18</v>
      </c>
      <c r="H131" s="1">
        <v>5.08</v>
      </c>
      <c r="I131" s="1">
        <v>0.47</v>
      </c>
      <c r="J131" s="1">
        <v>1.87</v>
      </c>
      <c r="K131" s="1">
        <v>6</v>
      </c>
      <c r="L131" s="1">
        <v>0.93</v>
      </c>
      <c r="M131" s="1">
        <v>3.69</v>
      </c>
      <c r="N131" s="1">
        <v>465</v>
      </c>
      <c r="O131" s="1">
        <v>1</v>
      </c>
      <c r="R131" s="1">
        <f t="shared" si="32"/>
        <v>6.3157894736842524E-2</v>
      </c>
      <c r="S131" s="1">
        <f t="shared" si="33"/>
        <v>1</v>
      </c>
      <c r="T131" s="1">
        <f t="shared" si="34"/>
        <v>-0.17647058823529427</v>
      </c>
      <c r="U131" s="1">
        <f t="shared" si="35"/>
        <v>0.12371134020618579</v>
      </c>
      <c r="V131" s="1">
        <f t="shared" si="36"/>
        <v>-0.65217391304347827</v>
      </c>
      <c r="W131" s="1">
        <f t="shared" si="37"/>
        <v>0.13103448275862073</v>
      </c>
      <c r="X131" s="1">
        <f t="shared" si="38"/>
        <v>-2.5316455696202556E-2</v>
      </c>
      <c r="Y131" s="1">
        <f t="shared" si="39"/>
        <v>-0.35849056603773599</v>
      </c>
      <c r="Z131" s="1">
        <f t="shared" si="40"/>
        <v>9.4637223974762819E-3</v>
      </c>
      <c r="AA131" s="1">
        <f t="shared" si="41"/>
        <v>-0.77474402730375425</v>
      </c>
      <c r="AB131" s="1">
        <f t="shared" si="42"/>
        <v>-0.5934959349593496</v>
      </c>
      <c r="AC131" s="1">
        <f t="shared" si="43"/>
        <v>0.34065934065934078</v>
      </c>
      <c r="AD131" s="1">
        <f t="shared" si="44"/>
        <v>-0.85449358059914404</v>
      </c>
      <c r="AE131" s="1">
        <v>1</v>
      </c>
    </row>
    <row r="132" spans="2:31" x14ac:dyDescent="0.2">
      <c r="B132" s="1">
        <v>12.42</v>
      </c>
      <c r="C132" s="1">
        <v>4.43</v>
      </c>
      <c r="D132" s="1">
        <v>2.73</v>
      </c>
      <c r="E132" s="1">
        <v>26.5</v>
      </c>
      <c r="F132" s="1">
        <v>102</v>
      </c>
      <c r="G132" s="1">
        <v>2.2000000000000002</v>
      </c>
      <c r="H132" s="1">
        <v>2.13</v>
      </c>
      <c r="I132" s="1">
        <v>0.43</v>
      </c>
      <c r="J132" s="1">
        <v>1.71</v>
      </c>
      <c r="K132" s="1">
        <v>2.08</v>
      </c>
      <c r="L132" s="1">
        <v>0.92</v>
      </c>
      <c r="M132" s="1">
        <v>3.12</v>
      </c>
      <c r="N132" s="1">
        <v>365</v>
      </c>
      <c r="O132" s="1">
        <v>1</v>
      </c>
      <c r="R132" s="1">
        <f t="shared" si="32"/>
        <v>-0.55789473684210544</v>
      </c>
      <c r="S132" s="1">
        <f t="shared" si="33"/>
        <v>0.41106719367588918</v>
      </c>
      <c r="T132" s="1">
        <f t="shared" si="34"/>
        <v>0.10160427807486649</v>
      </c>
      <c r="U132" s="1">
        <f t="shared" si="35"/>
        <v>7.2164948453608435E-2</v>
      </c>
      <c r="V132" s="1">
        <f t="shared" si="36"/>
        <v>-0.73913043478260865</v>
      </c>
      <c r="W132" s="1">
        <f t="shared" si="37"/>
        <v>0.29655172413793096</v>
      </c>
      <c r="X132" s="1">
        <f t="shared" si="38"/>
        <v>0.13502109704641341</v>
      </c>
      <c r="Y132" s="1">
        <f t="shared" si="39"/>
        <v>-0.69811320754716988</v>
      </c>
      <c r="Z132" s="1">
        <f t="shared" si="40"/>
        <v>0.57728706624605675</v>
      </c>
      <c r="AA132" s="1">
        <f t="shared" si="41"/>
        <v>-0.74061433447098979</v>
      </c>
      <c r="AB132" s="1">
        <f t="shared" si="42"/>
        <v>-0.5609756097560975</v>
      </c>
      <c r="AC132" s="1">
        <f t="shared" si="43"/>
        <v>0.73626373626373631</v>
      </c>
      <c r="AD132" s="1">
        <f t="shared" si="44"/>
        <v>-0.85449358059914404</v>
      </c>
      <c r="AE132" s="1">
        <v>1</v>
      </c>
    </row>
    <row r="133" spans="2:31" x14ac:dyDescent="0.2">
      <c r="B133" s="1">
        <v>13.05</v>
      </c>
      <c r="C133" s="1">
        <v>5.8</v>
      </c>
      <c r="D133" s="1">
        <v>2.13</v>
      </c>
      <c r="E133" s="1">
        <v>21.5</v>
      </c>
      <c r="F133" s="1">
        <v>86</v>
      </c>
      <c r="G133" s="1">
        <v>2.62</v>
      </c>
      <c r="H133" s="1">
        <v>2.65</v>
      </c>
      <c r="I133" s="1">
        <v>0.3</v>
      </c>
      <c r="J133" s="1">
        <v>2.0099999999999998</v>
      </c>
      <c r="K133" s="1">
        <v>2.6</v>
      </c>
      <c r="L133" s="1">
        <v>0.73</v>
      </c>
      <c r="M133" s="1">
        <v>3.1</v>
      </c>
      <c r="N133" s="1">
        <v>380</v>
      </c>
      <c r="O133" s="1">
        <v>1</v>
      </c>
      <c r="R133" s="1">
        <f t="shared" si="32"/>
        <v>-0.45263157894736805</v>
      </c>
      <c r="S133" s="1">
        <f t="shared" si="33"/>
        <v>-0.43873517786561256</v>
      </c>
      <c r="T133" s="1">
        <f t="shared" si="34"/>
        <v>-0.1336898395721926</v>
      </c>
      <c r="U133" s="1">
        <f t="shared" si="35"/>
        <v>7.2164948453608435E-2</v>
      </c>
      <c r="V133" s="1">
        <f t="shared" si="36"/>
        <v>-0.67391304347826086</v>
      </c>
      <c r="W133" s="1">
        <f t="shared" si="37"/>
        <v>0.11724137931034484</v>
      </c>
      <c r="X133" s="1">
        <f t="shared" si="38"/>
        <v>-2.5316455696202556E-2</v>
      </c>
      <c r="Y133" s="1">
        <f t="shared" si="39"/>
        <v>-9.4339622641509524E-2</v>
      </c>
      <c r="Z133" s="1">
        <f t="shared" si="40"/>
        <v>-0.40694006309148256</v>
      </c>
      <c r="AA133" s="1">
        <f t="shared" si="41"/>
        <v>-0.74744027303754268</v>
      </c>
      <c r="AB133" s="1">
        <f t="shared" si="42"/>
        <v>-0.38211382113821135</v>
      </c>
      <c r="AC133" s="1">
        <f t="shared" si="43"/>
        <v>0.4725274725274724</v>
      </c>
      <c r="AD133" s="1">
        <f t="shared" si="44"/>
        <v>-0.85734664764621971</v>
      </c>
      <c r="AE133" s="1">
        <v>1</v>
      </c>
    </row>
    <row r="134" spans="2:31" x14ac:dyDescent="0.2">
      <c r="B134" s="1">
        <v>11.87</v>
      </c>
      <c r="C134" s="1">
        <v>4.3099999999999996</v>
      </c>
      <c r="D134" s="1">
        <v>2.39</v>
      </c>
      <c r="E134" s="1">
        <v>21</v>
      </c>
      <c r="F134" s="1">
        <v>82</v>
      </c>
      <c r="G134" s="1">
        <v>2.86</v>
      </c>
      <c r="H134" s="1">
        <v>3.03</v>
      </c>
      <c r="I134" s="1">
        <v>0.21</v>
      </c>
      <c r="J134" s="1">
        <v>2.91</v>
      </c>
      <c r="K134" s="1">
        <v>2.8</v>
      </c>
      <c r="L134" s="1">
        <v>0.75</v>
      </c>
      <c r="M134" s="1">
        <v>3.64</v>
      </c>
      <c r="N134" s="1">
        <v>380</v>
      </c>
      <c r="O134" s="1">
        <v>1</v>
      </c>
      <c r="R134" s="1">
        <f t="shared" si="32"/>
        <v>-0.26315789473684204</v>
      </c>
      <c r="S134" s="1">
        <f t="shared" si="33"/>
        <v>-0.68774703557312256</v>
      </c>
      <c r="T134" s="1">
        <f t="shared" si="34"/>
        <v>-5.3475935828877219E-3</v>
      </c>
      <c r="U134" s="1">
        <f t="shared" si="35"/>
        <v>0.12371134020618579</v>
      </c>
      <c r="V134" s="1">
        <f t="shared" si="36"/>
        <v>-0.65217391304347827</v>
      </c>
      <c r="W134" s="1">
        <f t="shared" si="37"/>
        <v>0.21379310344827607</v>
      </c>
      <c r="X134" s="1">
        <f t="shared" si="38"/>
        <v>0.18565400843881852</v>
      </c>
      <c r="Y134" s="1">
        <f t="shared" si="39"/>
        <v>-1.8867924528301883E-2</v>
      </c>
      <c r="Z134" s="1">
        <f t="shared" si="40"/>
        <v>-0.141955835962145</v>
      </c>
      <c r="AA134" s="1">
        <f t="shared" si="41"/>
        <v>-0.5460750853242321</v>
      </c>
      <c r="AB134" s="1">
        <f t="shared" si="42"/>
        <v>-0.65853658536585369</v>
      </c>
      <c r="AC134" s="1">
        <f t="shared" si="43"/>
        <v>0.15018315018315009</v>
      </c>
      <c r="AD134" s="1">
        <f t="shared" si="44"/>
        <v>-0.89443651925820256</v>
      </c>
      <c r="AE134" s="1">
        <v>1</v>
      </c>
    </row>
    <row r="135" spans="2:31" x14ac:dyDescent="0.2">
      <c r="B135" s="1">
        <v>12.07</v>
      </c>
      <c r="C135" s="1">
        <v>2.16</v>
      </c>
      <c r="D135" s="1">
        <v>2.17</v>
      </c>
      <c r="E135" s="1">
        <v>21</v>
      </c>
      <c r="F135" s="1">
        <v>85</v>
      </c>
      <c r="G135" s="1">
        <v>2.6</v>
      </c>
      <c r="H135" s="1">
        <v>2.65</v>
      </c>
      <c r="I135" s="1">
        <v>0.37</v>
      </c>
      <c r="J135" s="1">
        <v>1.35</v>
      </c>
      <c r="K135" s="1">
        <v>2.76</v>
      </c>
      <c r="L135" s="1">
        <v>0.86</v>
      </c>
      <c r="M135" s="1">
        <v>3.28</v>
      </c>
      <c r="N135" s="1">
        <v>378</v>
      </c>
      <c r="O135" s="1">
        <v>1</v>
      </c>
      <c r="R135" s="1">
        <f t="shared" si="32"/>
        <v>-0.6000000000000002</v>
      </c>
      <c r="S135" s="1">
        <f t="shared" si="33"/>
        <v>-0.45059288537549402</v>
      </c>
      <c r="T135" s="1">
        <f t="shared" si="34"/>
        <v>0.5187165775401068</v>
      </c>
      <c r="U135" s="1">
        <f t="shared" si="35"/>
        <v>0.84536082474226792</v>
      </c>
      <c r="V135" s="1">
        <f t="shared" si="36"/>
        <v>-0.52173913043478259</v>
      </c>
      <c r="W135" s="1">
        <f t="shared" si="37"/>
        <v>-0.20689655172413801</v>
      </c>
      <c r="X135" s="1">
        <f t="shared" si="38"/>
        <v>-0.19831223628691985</v>
      </c>
      <c r="Y135" s="1">
        <f t="shared" si="39"/>
        <v>0.69811320754716966</v>
      </c>
      <c r="Z135" s="1">
        <f t="shared" si="40"/>
        <v>-0.1482649842271293</v>
      </c>
      <c r="AA135" s="1">
        <f t="shared" si="41"/>
        <v>-0.70648464163822533</v>
      </c>
      <c r="AB135" s="1">
        <f t="shared" si="42"/>
        <v>-0.2032520325203252</v>
      </c>
      <c r="AC135" s="1">
        <f t="shared" si="43"/>
        <v>-0.1428571428571429</v>
      </c>
      <c r="AD135" s="1">
        <f t="shared" si="44"/>
        <v>-0.73181169757489295</v>
      </c>
      <c r="AE135" s="1">
        <v>1</v>
      </c>
    </row>
    <row r="136" spans="2:31" x14ac:dyDescent="0.2">
      <c r="B136" s="1">
        <v>12.43</v>
      </c>
      <c r="C136" s="1">
        <v>1.53</v>
      </c>
      <c r="D136" s="1">
        <v>2.29</v>
      </c>
      <c r="E136" s="1">
        <v>21.5</v>
      </c>
      <c r="F136" s="1">
        <v>86</v>
      </c>
      <c r="G136" s="1">
        <v>2.74</v>
      </c>
      <c r="H136" s="1">
        <v>3.15</v>
      </c>
      <c r="I136" s="1">
        <v>0.39</v>
      </c>
      <c r="J136" s="1">
        <v>1.77</v>
      </c>
      <c r="K136" s="1">
        <v>3.94</v>
      </c>
      <c r="L136" s="1">
        <v>0.69</v>
      </c>
      <c r="M136" s="1">
        <v>2.84</v>
      </c>
      <c r="N136" s="1">
        <v>352</v>
      </c>
      <c r="O136" s="1">
        <v>1</v>
      </c>
      <c r="R136" s="1">
        <f t="shared" si="32"/>
        <v>-0.29473684210526341</v>
      </c>
      <c r="S136" s="1">
        <f t="shared" si="33"/>
        <v>-0.64822134387351782</v>
      </c>
      <c r="T136" s="1">
        <f t="shared" si="34"/>
        <v>5.3475935828874999E-3</v>
      </c>
      <c r="U136" s="1">
        <f t="shared" si="35"/>
        <v>0.43298969072164972</v>
      </c>
      <c r="V136" s="1">
        <f t="shared" si="36"/>
        <v>-0.60869565217391308</v>
      </c>
      <c r="W136" s="1">
        <f t="shared" si="37"/>
        <v>-0.1448275862068964</v>
      </c>
      <c r="X136" s="1">
        <f t="shared" si="38"/>
        <v>-0.10970464135021085</v>
      </c>
      <c r="Y136" s="1">
        <f t="shared" si="39"/>
        <v>1.8867924528301883E-2</v>
      </c>
      <c r="Z136" s="1">
        <f t="shared" si="40"/>
        <v>-5.9936908517350118E-2</v>
      </c>
      <c r="AA136" s="1">
        <f t="shared" si="41"/>
        <v>-0.85665529010238906</v>
      </c>
      <c r="AB136" s="1">
        <f t="shared" si="42"/>
        <v>-0.33333333333333326</v>
      </c>
      <c r="AC136" s="1">
        <f t="shared" si="43"/>
        <v>0.10622710622710607</v>
      </c>
      <c r="AD136" s="1">
        <f t="shared" si="44"/>
        <v>-0.90870185449358054</v>
      </c>
      <c r="AE136" s="1">
        <v>1</v>
      </c>
    </row>
    <row r="137" spans="2:31" x14ac:dyDescent="0.2">
      <c r="B137" s="1">
        <v>11.79</v>
      </c>
      <c r="C137" s="1">
        <v>2.13</v>
      </c>
      <c r="D137" s="1">
        <v>2.78</v>
      </c>
      <c r="E137" s="1">
        <v>28.5</v>
      </c>
      <c r="F137" s="1">
        <v>92</v>
      </c>
      <c r="G137" s="1">
        <v>2.13</v>
      </c>
      <c r="H137" s="1">
        <v>2.2400000000000002</v>
      </c>
      <c r="I137" s="1">
        <v>0.57999999999999996</v>
      </c>
      <c r="J137" s="1">
        <v>1.76</v>
      </c>
      <c r="K137" s="1">
        <v>3</v>
      </c>
      <c r="L137" s="1">
        <v>0.97</v>
      </c>
      <c r="M137" s="1">
        <v>2.44</v>
      </c>
      <c r="N137" s="1">
        <v>466</v>
      </c>
      <c r="O137" s="1">
        <v>1</v>
      </c>
      <c r="R137" s="1">
        <f t="shared" ref="R137:R185" si="45">$Q$3+((B139-B$7)*($Q$4-$Q$3))/(B$8-B$7)</f>
        <v>-0.46842105263157918</v>
      </c>
      <c r="S137" s="1">
        <f t="shared" ref="S137:S185" si="46">$Q$3+((C139-C$7)*($Q$4-$Q$3))/(C$8-C$7)</f>
        <v>0.40711462450592872</v>
      </c>
      <c r="T137" s="1">
        <f t="shared" ref="T137:T185" si="47">$Q$3+((D139-D$7)*($Q$4-$Q$3))/(D$8-D$7)</f>
        <v>9.0909090909090828E-2</v>
      </c>
      <c r="U137" s="1">
        <f t="shared" ref="U137:U185" si="48">$Q$3+((E139-E$7)*($Q$4-$Q$3))/(E$8-E$7)</f>
        <v>0.17525773195876293</v>
      </c>
      <c r="V137" s="1">
        <f t="shared" ref="V137:V185" si="49">$Q$3+((F139-F$7)*($Q$4-$Q$3))/(F$8-F$7)</f>
        <v>-0.78260869565217395</v>
      </c>
      <c r="W137" s="1">
        <f t="shared" ref="W137:W185" si="50">$Q$3+((G139-G$7)*($Q$4-$Q$3))/(G$8-G$7)</f>
        <v>-0.22758620689655162</v>
      </c>
      <c r="X137" s="1">
        <f t="shared" ref="X137:X185" si="51">$Q$3+((H139-H$7)*($Q$4-$Q$3))/(H$8-H$7)</f>
        <v>-0.40506329113924056</v>
      </c>
      <c r="Y137" s="1">
        <f t="shared" ref="Y137:Y185" si="52">$Q$3+((I139-I$7)*($Q$4-$Q$3))/(I$8-I$7)</f>
        <v>9.4339622641509413E-2</v>
      </c>
      <c r="Z137" s="1">
        <f t="shared" ref="Z137:Z185" si="53">$Q$3+((J139-J$7)*($Q$4-$Q$3))/(J$8-J$7)</f>
        <v>-0.40694006309148256</v>
      </c>
      <c r="AA137" s="1">
        <f t="shared" ref="AA137:AA185" si="54">$Q$3+((K139-K$7)*($Q$4-$Q$3))/(K$8-K$7)</f>
        <v>-0.77474402730375425</v>
      </c>
      <c r="AB137" s="1">
        <f t="shared" ref="AB137:AB185" si="55">$Q$3+((L139-L$7)*($Q$4-$Q$3))/(L$8-L$7)</f>
        <v>-0.49593495934959342</v>
      </c>
      <c r="AC137" s="1">
        <f t="shared" ref="AC137:AC185" si="56">$Q$3+((M139-M$7)*($Q$4-$Q$3))/(M$8-M$7)</f>
        <v>-4.7619047619047783E-2</v>
      </c>
      <c r="AD137" s="1">
        <f t="shared" ref="AD137:AD185" si="57">$Q$3+((N139-N$7)*($Q$4-$Q$3))/(N$8-N$7)</f>
        <v>-0.56918687589158345</v>
      </c>
      <c r="AE137" s="1">
        <v>1</v>
      </c>
    </row>
    <row r="138" spans="2:31" x14ac:dyDescent="0.2">
      <c r="B138" s="1">
        <v>12.37</v>
      </c>
      <c r="C138" s="1">
        <v>1.63</v>
      </c>
      <c r="D138" s="1">
        <v>2.2999999999999998</v>
      </c>
      <c r="E138" s="1">
        <v>24.5</v>
      </c>
      <c r="F138" s="1">
        <v>88</v>
      </c>
      <c r="G138" s="1">
        <v>2.2200000000000002</v>
      </c>
      <c r="H138" s="1">
        <v>2.4500000000000002</v>
      </c>
      <c r="I138" s="1">
        <v>0.4</v>
      </c>
      <c r="J138" s="1">
        <v>1.9</v>
      </c>
      <c r="K138" s="1">
        <v>2.12</v>
      </c>
      <c r="L138" s="1">
        <v>0.89</v>
      </c>
      <c r="M138" s="1">
        <v>2.78</v>
      </c>
      <c r="N138" s="1">
        <v>342</v>
      </c>
      <c r="O138" s="1">
        <v>1</v>
      </c>
      <c r="R138" s="1">
        <f t="shared" si="45"/>
        <v>-3.6842105263158009E-2</v>
      </c>
      <c r="S138" s="1">
        <f t="shared" si="46"/>
        <v>-0.75889328063241102</v>
      </c>
      <c r="T138" s="1">
        <f t="shared" si="47"/>
        <v>2.6737967914438387E-2</v>
      </c>
      <c r="U138" s="1">
        <f t="shared" si="48"/>
        <v>-0.2371134020618556</v>
      </c>
      <c r="V138" s="1">
        <f t="shared" si="49"/>
        <v>0.13043478260869557</v>
      </c>
      <c r="W138" s="1">
        <f t="shared" si="50"/>
        <v>-0.63448275862068959</v>
      </c>
      <c r="X138" s="1">
        <f t="shared" si="51"/>
        <v>-0.61603375527426163</v>
      </c>
      <c r="Y138" s="1">
        <f t="shared" si="52"/>
        <v>-0.69811320754716988</v>
      </c>
      <c r="Z138" s="1">
        <f t="shared" si="53"/>
        <v>-0.66561514195583593</v>
      </c>
      <c r="AA138" s="1">
        <f t="shared" si="54"/>
        <v>-0.51877133105802065</v>
      </c>
      <c r="AB138" s="1">
        <f t="shared" si="55"/>
        <v>-0.54471544715447151</v>
      </c>
      <c r="AC138" s="1">
        <f t="shared" si="56"/>
        <v>-0.98534798534798529</v>
      </c>
      <c r="AD138" s="1">
        <f t="shared" si="57"/>
        <v>-0.49786019971469331</v>
      </c>
      <c r="AE138" s="1">
        <v>2</v>
      </c>
    </row>
    <row r="139" spans="2:31" x14ac:dyDescent="0.2">
      <c r="B139" s="1">
        <v>12.04</v>
      </c>
      <c r="C139" s="1">
        <v>4.3</v>
      </c>
      <c r="D139" s="1">
        <v>2.38</v>
      </c>
      <c r="E139" s="1">
        <v>22</v>
      </c>
      <c r="F139" s="1">
        <v>80</v>
      </c>
      <c r="G139" s="1">
        <v>2.1</v>
      </c>
      <c r="H139" s="1">
        <v>1.75</v>
      </c>
      <c r="I139" s="1">
        <v>0.42</v>
      </c>
      <c r="J139" s="1">
        <v>1.35</v>
      </c>
      <c r="K139" s="1">
        <v>2.6</v>
      </c>
      <c r="L139" s="1">
        <v>0.79</v>
      </c>
      <c r="M139" s="1">
        <v>2.57</v>
      </c>
      <c r="N139" s="1">
        <v>580</v>
      </c>
      <c r="O139" s="1">
        <v>1</v>
      </c>
      <c r="R139" s="1">
        <f t="shared" si="45"/>
        <v>-2.6315789473683626E-2</v>
      </c>
      <c r="S139" s="1">
        <f t="shared" si="46"/>
        <v>-0.1106719367588932</v>
      </c>
      <c r="T139" s="1">
        <f t="shared" si="47"/>
        <v>0.11229946524064149</v>
      </c>
      <c r="U139" s="1">
        <f t="shared" si="48"/>
        <v>-3.0927835051546282E-2</v>
      </c>
      <c r="V139" s="1">
        <f t="shared" si="49"/>
        <v>-0.26086956521739135</v>
      </c>
      <c r="W139" s="1">
        <f t="shared" si="50"/>
        <v>-0.77931034482758621</v>
      </c>
      <c r="X139" s="1">
        <f t="shared" si="51"/>
        <v>-0.62869198312236296</v>
      </c>
      <c r="Y139" s="1">
        <f t="shared" si="52"/>
        <v>-0.58490566037735858</v>
      </c>
      <c r="Z139" s="1">
        <f t="shared" si="53"/>
        <v>-0.73501577287066244</v>
      </c>
      <c r="AA139" s="1">
        <f t="shared" si="54"/>
        <v>-0.29692832764505117</v>
      </c>
      <c r="AB139" s="1">
        <f t="shared" si="55"/>
        <v>-0.5772357723577235</v>
      </c>
      <c r="AC139" s="1">
        <f t="shared" si="56"/>
        <v>-0.89010989010989017</v>
      </c>
      <c r="AD139" s="1">
        <f t="shared" si="57"/>
        <v>-0.6405135520684736</v>
      </c>
      <c r="AE139" s="1">
        <v>2</v>
      </c>
    </row>
    <row r="140" spans="2:31" x14ac:dyDescent="0.2">
      <c r="B140" s="1">
        <v>12.86</v>
      </c>
      <c r="C140" s="1">
        <v>1.35</v>
      </c>
      <c r="D140" s="1">
        <v>2.3199999999999998</v>
      </c>
      <c r="E140" s="1">
        <v>18</v>
      </c>
      <c r="F140" s="1">
        <v>122</v>
      </c>
      <c r="G140" s="1">
        <v>1.51</v>
      </c>
      <c r="H140" s="1">
        <v>1.25</v>
      </c>
      <c r="I140" s="1">
        <v>0.21</v>
      </c>
      <c r="J140" s="1">
        <v>0.94</v>
      </c>
      <c r="K140" s="1">
        <v>4.0999999999999996</v>
      </c>
      <c r="L140" s="1">
        <v>0.76</v>
      </c>
      <c r="M140" s="1">
        <v>1.29</v>
      </c>
      <c r="N140" s="1">
        <v>630</v>
      </c>
      <c r="O140" s="1">
        <v>2</v>
      </c>
      <c r="R140" s="1">
        <f t="shared" si="45"/>
        <v>-6.3157894736841635E-2</v>
      </c>
      <c r="S140" s="1">
        <f t="shared" si="46"/>
        <v>-0.37944664031620545</v>
      </c>
      <c r="T140" s="1">
        <f t="shared" si="47"/>
        <v>0.11229946524064149</v>
      </c>
      <c r="U140" s="1">
        <f t="shared" si="48"/>
        <v>0.38144329896907236</v>
      </c>
      <c r="V140" s="1">
        <f t="shared" si="49"/>
        <v>-0.39130434782608692</v>
      </c>
      <c r="W140" s="1">
        <f t="shared" si="50"/>
        <v>-0.88275862068965516</v>
      </c>
      <c r="X140" s="1">
        <f t="shared" si="51"/>
        <v>-0.68354430379746844</v>
      </c>
      <c r="Y140" s="1">
        <f t="shared" si="52"/>
        <v>-0.47169811320754718</v>
      </c>
      <c r="Z140" s="1">
        <f t="shared" si="53"/>
        <v>-0.73501577287066244</v>
      </c>
      <c r="AA140" s="1">
        <f t="shared" si="54"/>
        <v>-0.24573378839590454</v>
      </c>
      <c r="AB140" s="1">
        <f t="shared" si="55"/>
        <v>-0.70731707317073167</v>
      </c>
      <c r="AC140" s="1">
        <f t="shared" si="56"/>
        <v>-0.93406593406593397</v>
      </c>
      <c r="AD140" s="1">
        <f t="shared" si="57"/>
        <v>-0.59771754636233954</v>
      </c>
      <c r="AE140" s="1">
        <v>2</v>
      </c>
    </row>
    <row r="141" spans="2:31" x14ac:dyDescent="0.2">
      <c r="B141" s="1">
        <v>12.88</v>
      </c>
      <c r="C141" s="1">
        <v>2.99</v>
      </c>
      <c r="D141" s="1">
        <v>2.4</v>
      </c>
      <c r="E141" s="1">
        <v>20</v>
      </c>
      <c r="F141" s="1">
        <v>104</v>
      </c>
      <c r="G141" s="1">
        <v>1.3</v>
      </c>
      <c r="H141" s="1">
        <v>1.22</v>
      </c>
      <c r="I141" s="1">
        <v>0.24</v>
      </c>
      <c r="J141" s="1">
        <v>0.83</v>
      </c>
      <c r="K141" s="1">
        <v>5.4</v>
      </c>
      <c r="L141" s="1">
        <v>0.74</v>
      </c>
      <c r="M141" s="1">
        <v>1.42</v>
      </c>
      <c r="N141" s="1">
        <v>530</v>
      </c>
      <c r="O141" s="1">
        <v>2</v>
      </c>
      <c r="R141" s="1">
        <f t="shared" si="45"/>
        <v>-0.12105263157894752</v>
      </c>
      <c r="S141" s="1">
        <f t="shared" si="46"/>
        <v>0.11067193675889331</v>
      </c>
      <c r="T141" s="1">
        <f t="shared" si="47"/>
        <v>6.9518716577539941E-2</v>
      </c>
      <c r="U141" s="1">
        <f t="shared" si="48"/>
        <v>0.12371134020618579</v>
      </c>
      <c r="V141" s="1">
        <f t="shared" si="49"/>
        <v>-0.21739130434782605</v>
      </c>
      <c r="W141" s="1">
        <f t="shared" si="50"/>
        <v>-0.50344827586206897</v>
      </c>
      <c r="X141" s="1">
        <f t="shared" si="51"/>
        <v>-0.6371308016877637</v>
      </c>
      <c r="Y141" s="1">
        <f t="shared" si="52"/>
        <v>-0.84905660377358494</v>
      </c>
      <c r="Z141" s="1">
        <f t="shared" si="53"/>
        <v>-0.72870662460567825</v>
      </c>
      <c r="AA141" s="1">
        <f t="shared" si="54"/>
        <v>-0.36518771331058031</v>
      </c>
      <c r="AB141" s="1">
        <f t="shared" si="55"/>
        <v>-0.51219512195121941</v>
      </c>
      <c r="AC141" s="1">
        <f t="shared" si="56"/>
        <v>-0.98534798534798529</v>
      </c>
      <c r="AD141" s="1">
        <f t="shared" si="57"/>
        <v>-0.54065620542082737</v>
      </c>
      <c r="AE141" s="1">
        <v>2</v>
      </c>
    </row>
    <row r="142" spans="2:31" x14ac:dyDescent="0.2">
      <c r="B142" s="1">
        <v>12.81</v>
      </c>
      <c r="C142" s="1">
        <v>2.31</v>
      </c>
      <c r="D142" s="1">
        <v>2.4</v>
      </c>
      <c r="E142" s="1">
        <v>24</v>
      </c>
      <c r="F142" s="1">
        <v>98</v>
      </c>
      <c r="G142" s="1">
        <v>1.1499999999999999</v>
      </c>
      <c r="H142" s="1">
        <v>1.0900000000000001</v>
      </c>
      <c r="I142" s="1">
        <v>0.27</v>
      </c>
      <c r="J142" s="1">
        <v>0.83</v>
      </c>
      <c r="K142" s="1">
        <v>5.7</v>
      </c>
      <c r="L142" s="1">
        <v>0.66</v>
      </c>
      <c r="M142" s="1">
        <v>1.36</v>
      </c>
      <c r="N142" s="1">
        <v>560</v>
      </c>
      <c r="O142" s="1">
        <v>2</v>
      </c>
      <c r="R142" s="1">
        <f t="shared" si="45"/>
        <v>-0.22105263157894728</v>
      </c>
      <c r="S142" s="1">
        <f t="shared" si="46"/>
        <v>-0.80237154150197632</v>
      </c>
      <c r="T142" s="1">
        <f t="shared" si="47"/>
        <v>-4.8128342245989386E-2</v>
      </c>
      <c r="U142" s="1">
        <f t="shared" si="48"/>
        <v>-0.28865979381443285</v>
      </c>
      <c r="V142" s="1">
        <f t="shared" si="49"/>
        <v>-0.67391304347826086</v>
      </c>
      <c r="W142" s="1">
        <f t="shared" si="50"/>
        <v>-0.29655172413793096</v>
      </c>
      <c r="X142" s="1">
        <f t="shared" si="51"/>
        <v>-0.89873417721518989</v>
      </c>
      <c r="Y142" s="1">
        <f t="shared" si="52"/>
        <v>0.77358490566037719</v>
      </c>
      <c r="Z142" s="1">
        <f t="shared" si="53"/>
        <v>-0.47003154574132489</v>
      </c>
      <c r="AA142" s="1">
        <f t="shared" si="54"/>
        <v>-0.28839590443686014</v>
      </c>
      <c r="AB142" s="1">
        <f t="shared" si="55"/>
        <v>-0.5609756097560975</v>
      </c>
      <c r="AC142" s="1">
        <f t="shared" si="56"/>
        <v>-0.82417582417582413</v>
      </c>
      <c r="AD142" s="1">
        <f t="shared" si="57"/>
        <v>-0.46932952924393723</v>
      </c>
      <c r="AE142" s="1">
        <v>2</v>
      </c>
    </row>
    <row r="143" spans="2:31" x14ac:dyDescent="0.2">
      <c r="B143" s="1">
        <v>12.7</v>
      </c>
      <c r="C143" s="1">
        <v>3.55</v>
      </c>
      <c r="D143" s="1">
        <v>2.36</v>
      </c>
      <c r="E143" s="1">
        <v>21.5</v>
      </c>
      <c r="F143" s="1">
        <v>106</v>
      </c>
      <c r="G143" s="1">
        <v>1.7</v>
      </c>
      <c r="H143" s="1">
        <v>1.2</v>
      </c>
      <c r="I143" s="1">
        <v>0.17</v>
      </c>
      <c r="J143" s="1">
        <v>0.84</v>
      </c>
      <c r="K143" s="1">
        <v>5</v>
      </c>
      <c r="L143" s="1">
        <v>0.78</v>
      </c>
      <c r="M143" s="1">
        <v>1.29</v>
      </c>
      <c r="N143" s="1">
        <v>600</v>
      </c>
      <c r="O143" s="1">
        <v>2</v>
      </c>
      <c r="R143" s="1">
        <f t="shared" si="45"/>
        <v>-0.17368421052631577</v>
      </c>
      <c r="S143" s="1">
        <f t="shared" si="46"/>
        <v>-0.32015810276679835</v>
      </c>
      <c r="T143" s="1">
        <f t="shared" si="47"/>
        <v>-0.10160427807486616</v>
      </c>
      <c r="U143" s="1">
        <f t="shared" si="48"/>
        <v>-0.18556701030927825</v>
      </c>
      <c r="V143" s="1">
        <f t="shared" si="49"/>
        <v>-0.47826086956521741</v>
      </c>
      <c r="W143" s="1">
        <f t="shared" si="50"/>
        <v>-0.55862068965517231</v>
      </c>
      <c r="X143" s="1">
        <f t="shared" si="51"/>
        <v>-0.86497890295358648</v>
      </c>
      <c r="Y143" s="1">
        <f t="shared" si="52"/>
        <v>0.88679245283018848</v>
      </c>
      <c r="Z143" s="1">
        <f t="shared" si="53"/>
        <v>-0.66561514195583593</v>
      </c>
      <c r="AA143" s="1">
        <f t="shared" si="54"/>
        <v>-6.8259385665531136E-3</v>
      </c>
      <c r="AB143" s="1">
        <f t="shared" si="55"/>
        <v>-0.5934959349593496</v>
      </c>
      <c r="AC143" s="1">
        <f t="shared" si="56"/>
        <v>-0.77289377289377281</v>
      </c>
      <c r="AD143" s="1">
        <f t="shared" si="57"/>
        <v>-0.40513552068473613</v>
      </c>
      <c r="AE143" s="1">
        <v>2</v>
      </c>
    </row>
    <row r="144" spans="2:31" x14ac:dyDescent="0.2">
      <c r="B144" s="1">
        <v>12.51</v>
      </c>
      <c r="C144" s="1">
        <v>1.24</v>
      </c>
      <c r="D144" s="1">
        <v>2.25</v>
      </c>
      <c r="E144" s="1">
        <v>17.5</v>
      </c>
      <c r="F144" s="1">
        <v>85</v>
      </c>
      <c r="G144" s="1">
        <v>2</v>
      </c>
      <c r="H144" s="1">
        <v>0.57999999999999996</v>
      </c>
      <c r="I144" s="1">
        <v>0.6</v>
      </c>
      <c r="J144" s="1">
        <v>1.25</v>
      </c>
      <c r="K144" s="1">
        <v>5.45</v>
      </c>
      <c r="L144" s="1">
        <v>0.75</v>
      </c>
      <c r="M144" s="1">
        <v>1.51</v>
      </c>
      <c r="N144" s="1">
        <v>650</v>
      </c>
      <c r="O144" s="1">
        <v>2</v>
      </c>
      <c r="R144" s="1">
        <f t="shared" si="45"/>
        <v>-0.35789473684210504</v>
      </c>
      <c r="S144" s="1">
        <f t="shared" si="46"/>
        <v>0.5731225296442688</v>
      </c>
      <c r="T144" s="1">
        <f t="shared" si="47"/>
        <v>0.26203208556149726</v>
      </c>
      <c r="U144" s="1">
        <f t="shared" si="48"/>
        <v>7.2164948453608435E-2</v>
      </c>
      <c r="V144" s="1">
        <f t="shared" si="49"/>
        <v>-0.58695652173913038</v>
      </c>
      <c r="W144" s="1">
        <f t="shared" si="50"/>
        <v>-0.72413793103448287</v>
      </c>
      <c r="X144" s="1">
        <f t="shared" si="51"/>
        <v>-0.94514767932489452</v>
      </c>
      <c r="Y144" s="1">
        <f t="shared" si="52"/>
        <v>0.50943396226415105</v>
      </c>
      <c r="Z144" s="1">
        <f t="shared" si="53"/>
        <v>-0.75394321766561512</v>
      </c>
      <c r="AA144" s="1">
        <f t="shared" si="54"/>
        <v>-0.56143344709897613</v>
      </c>
      <c r="AB144" s="1">
        <f t="shared" si="55"/>
        <v>-0.5609756097560975</v>
      </c>
      <c r="AC144" s="1">
        <f t="shared" si="56"/>
        <v>-1</v>
      </c>
      <c r="AD144" s="1">
        <f t="shared" si="57"/>
        <v>-0.369472182596291</v>
      </c>
      <c r="AE144" s="1">
        <v>2</v>
      </c>
    </row>
    <row r="145" spans="2:31" x14ac:dyDescent="0.2">
      <c r="B145" s="1">
        <v>12.6</v>
      </c>
      <c r="C145" s="1">
        <v>2.46</v>
      </c>
      <c r="D145" s="1">
        <v>2.2000000000000002</v>
      </c>
      <c r="E145" s="1">
        <v>18.5</v>
      </c>
      <c r="F145" s="1">
        <v>94</v>
      </c>
      <c r="G145" s="1">
        <v>1.62</v>
      </c>
      <c r="H145" s="1">
        <v>0.66</v>
      </c>
      <c r="I145" s="1">
        <v>0.63</v>
      </c>
      <c r="J145" s="1">
        <v>0.94</v>
      </c>
      <c r="K145" s="1">
        <v>7.1</v>
      </c>
      <c r="L145" s="1">
        <v>0.73</v>
      </c>
      <c r="M145" s="1">
        <v>1.58</v>
      </c>
      <c r="N145" s="1">
        <v>695</v>
      </c>
      <c r="O145" s="1">
        <v>2</v>
      </c>
      <c r="R145" s="1">
        <f t="shared" si="45"/>
        <v>-0.21052631578947378</v>
      </c>
      <c r="S145" s="1">
        <f t="shared" si="46"/>
        <v>0.88537549407114624</v>
      </c>
      <c r="T145" s="1">
        <f t="shared" si="47"/>
        <v>0.36898395721925148</v>
      </c>
      <c r="U145" s="1">
        <f t="shared" si="48"/>
        <v>0.48453608247422686</v>
      </c>
      <c r="V145" s="1">
        <f t="shared" si="49"/>
        <v>-0.43478260869565222</v>
      </c>
      <c r="W145" s="1">
        <f t="shared" si="50"/>
        <v>-0.44137931034482758</v>
      </c>
      <c r="X145" s="1">
        <f t="shared" si="51"/>
        <v>-0.89029535864978904</v>
      </c>
      <c r="Y145" s="1">
        <f t="shared" si="52"/>
        <v>0.88679245283018848</v>
      </c>
      <c r="Z145" s="1">
        <f t="shared" si="53"/>
        <v>-0.56466876971608815</v>
      </c>
      <c r="AA145" s="1">
        <f t="shared" si="54"/>
        <v>-0.36518771331058031</v>
      </c>
      <c r="AB145" s="1">
        <f t="shared" si="55"/>
        <v>-0.44715447154471544</v>
      </c>
      <c r="AC145" s="1">
        <f t="shared" si="56"/>
        <v>-0.69230769230769229</v>
      </c>
      <c r="AD145" s="1">
        <f t="shared" si="57"/>
        <v>-0.66191155492154063</v>
      </c>
      <c r="AE145" s="1">
        <v>2</v>
      </c>
    </row>
    <row r="146" spans="2:31" x14ac:dyDescent="0.2">
      <c r="B146" s="1">
        <v>12.25</v>
      </c>
      <c r="C146" s="1">
        <v>4.72</v>
      </c>
      <c r="D146" s="1">
        <v>2.54</v>
      </c>
      <c r="E146" s="1">
        <v>21</v>
      </c>
      <c r="F146" s="1">
        <v>89</v>
      </c>
      <c r="G146" s="1">
        <v>1.38</v>
      </c>
      <c r="H146" s="1">
        <v>0.47</v>
      </c>
      <c r="I146" s="1">
        <v>0.53</v>
      </c>
      <c r="J146" s="1">
        <v>0.8</v>
      </c>
      <c r="K146" s="1">
        <v>3.85</v>
      </c>
      <c r="L146" s="1">
        <v>0.75</v>
      </c>
      <c r="M146" s="1">
        <v>1.27</v>
      </c>
      <c r="N146" s="1">
        <v>720</v>
      </c>
      <c r="O146" s="1">
        <v>2</v>
      </c>
      <c r="R146" s="1">
        <f t="shared" si="45"/>
        <v>0.29473684210526341</v>
      </c>
      <c r="S146" s="1">
        <f t="shared" si="46"/>
        <v>0.12648221343873511</v>
      </c>
      <c r="T146" s="1">
        <f t="shared" si="47"/>
        <v>-0.11229946524064183</v>
      </c>
      <c r="U146" s="1">
        <f t="shared" si="48"/>
        <v>-8.247422680412364E-2</v>
      </c>
      <c r="V146" s="1">
        <f t="shared" si="49"/>
        <v>-0.60869565217391308</v>
      </c>
      <c r="W146" s="1">
        <f t="shared" si="50"/>
        <v>-0.55862068965517231</v>
      </c>
      <c r="X146" s="1">
        <f t="shared" si="51"/>
        <v>-0.94092827004219415</v>
      </c>
      <c r="Y146" s="1">
        <f t="shared" si="52"/>
        <v>0.69811320754716966</v>
      </c>
      <c r="Z146" s="1">
        <f t="shared" si="53"/>
        <v>-0.70347003154574128</v>
      </c>
      <c r="AA146" s="1">
        <f t="shared" si="54"/>
        <v>-0.24573378839590454</v>
      </c>
      <c r="AB146" s="1">
        <f t="shared" si="55"/>
        <v>-0.46341463414634132</v>
      </c>
      <c r="AC146" s="1">
        <f t="shared" si="56"/>
        <v>-0.59706959706959706</v>
      </c>
      <c r="AD146" s="1">
        <f t="shared" si="57"/>
        <v>-0.56918687589158345</v>
      </c>
      <c r="AE146" s="1">
        <v>2</v>
      </c>
    </row>
    <row r="147" spans="2:31" x14ac:dyDescent="0.2">
      <c r="B147" s="1">
        <v>12.53</v>
      </c>
      <c r="C147" s="1">
        <v>5.51</v>
      </c>
      <c r="D147" s="1">
        <v>2.64</v>
      </c>
      <c r="E147" s="1">
        <v>25</v>
      </c>
      <c r="F147" s="1">
        <v>96</v>
      </c>
      <c r="G147" s="1">
        <v>1.79</v>
      </c>
      <c r="H147" s="1">
        <v>0.6</v>
      </c>
      <c r="I147" s="1">
        <v>0.63</v>
      </c>
      <c r="J147" s="1">
        <v>1.1000000000000001</v>
      </c>
      <c r="K147" s="1">
        <v>5</v>
      </c>
      <c r="L147" s="1">
        <v>0.82</v>
      </c>
      <c r="M147" s="1">
        <v>1.69</v>
      </c>
      <c r="N147" s="1">
        <v>515</v>
      </c>
      <c r="O147" s="1">
        <v>2</v>
      </c>
      <c r="R147" s="1">
        <f t="shared" si="45"/>
        <v>-4.7368421052631504E-2</v>
      </c>
      <c r="S147" s="1">
        <f t="shared" si="46"/>
        <v>-0.12252964426877477</v>
      </c>
      <c r="T147" s="1">
        <f t="shared" si="47"/>
        <v>0.33689839572192493</v>
      </c>
      <c r="U147" s="1">
        <f t="shared" si="48"/>
        <v>0.38144329896907236</v>
      </c>
      <c r="V147" s="1">
        <f t="shared" si="49"/>
        <v>-0.32608695652173914</v>
      </c>
      <c r="W147" s="1">
        <f t="shared" si="50"/>
        <v>-7.5862068965517282E-2</v>
      </c>
      <c r="X147" s="1">
        <f t="shared" si="51"/>
        <v>-0.89029535864978904</v>
      </c>
      <c r="Y147" s="1">
        <f t="shared" si="52"/>
        <v>0.50943396226415105</v>
      </c>
      <c r="Z147" s="1">
        <f t="shared" si="53"/>
        <v>-0.74763406940063093</v>
      </c>
      <c r="AA147" s="1">
        <f t="shared" si="54"/>
        <v>-0.37883959044368609</v>
      </c>
      <c r="AB147" s="1">
        <f t="shared" si="55"/>
        <v>-0.33333333333333326</v>
      </c>
      <c r="AC147" s="1">
        <f t="shared" si="56"/>
        <v>-0.35531135531135538</v>
      </c>
      <c r="AD147" s="1">
        <f t="shared" si="57"/>
        <v>-0.55492154065620536</v>
      </c>
      <c r="AE147" s="1">
        <v>2</v>
      </c>
    </row>
    <row r="148" spans="2:31" x14ac:dyDescent="0.2">
      <c r="B148" s="1">
        <v>13.49</v>
      </c>
      <c r="C148" s="1">
        <v>3.59</v>
      </c>
      <c r="D148" s="1">
        <v>2.19</v>
      </c>
      <c r="E148" s="1">
        <v>19.5</v>
      </c>
      <c r="F148" s="1">
        <v>88</v>
      </c>
      <c r="G148" s="1">
        <v>1.62</v>
      </c>
      <c r="H148" s="1">
        <v>0.48</v>
      </c>
      <c r="I148" s="1">
        <v>0.57999999999999996</v>
      </c>
      <c r="J148" s="1">
        <v>0.88</v>
      </c>
      <c r="K148" s="1">
        <v>5.7</v>
      </c>
      <c r="L148" s="1">
        <v>0.81</v>
      </c>
      <c r="M148" s="1">
        <v>1.82</v>
      </c>
      <c r="N148" s="1">
        <v>580</v>
      </c>
      <c r="O148" s="1">
        <v>2</v>
      </c>
      <c r="R148" s="1">
        <f t="shared" si="45"/>
        <v>0</v>
      </c>
      <c r="S148" s="1">
        <f t="shared" si="46"/>
        <v>-0.18181818181818166</v>
      </c>
      <c r="T148" s="1">
        <f t="shared" si="47"/>
        <v>0.43315508021390392</v>
      </c>
      <c r="U148" s="1">
        <f t="shared" si="48"/>
        <v>7.2164948453608435E-2</v>
      </c>
      <c r="V148" s="1">
        <f t="shared" si="49"/>
        <v>-0.43478260869565222</v>
      </c>
      <c r="W148" s="1">
        <f t="shared" si="50"/>
        <v>-0.61379310344827576</v>
      </c>
      <c r="X148" s="1">
        <f t="shared" si="51"/>
        <v>-0.9324894514767933</v>
      </c>
      <c r="Y148" s="1">
        <f t="shared" si="52"/>
        <v>0.50943396226415105</v>
      </c>
      <c r="Z148" s="1">
        <f t="shared" si="53"/>
        <v>-0.78548895899053628</v>
      </c>
      <c r="AA148" s="1">
        <f t="shared" si="54"/>
        <v>-0.43344709897610934</v>
      </c>
      <c r="AB148" s="1">
        <f t="shared" si="55"/>
        <v>-0.52845528455284541</v>
      </c>
      <c r="AC148" s="1">
        <f t="shared" si="56"/>
        <v>-0.23809523809523803</v>
      </c>
      <c r="AD148" s="1">
        <f t="shared" si="57"/>
        <v>-0.54065620542082737</v>
      </c>
      <c r="AE148" s="1">
        <v>2</v>
      </c>
    </row>
    <row r="149" spans="2:31" x14ac:dyDescent="0.2">
      <c r="B149" s="1">
        <v>12.84</v>
      </c>
      <c r="C149" s="1">
        <v>2.96</v>
      </c>
      <c r="D149" s="1">
        <v>2.61</v>
      </c>
      <c r="E149" s="1">
        <v>24</v>
      </c>
      <c r="F149" s="1">
        <v>101</v>
      </c>
      <c r="G149" s="1">
        <v>2.3199999999999998</v>
      </c>
      <c r="H149" s="1">
        <v>0.6</v>
      </c>
      <c r="I149" s="1">
        <v>0.53</v>
      </c>
      <c r="J149" s="1">
        <v>0.81</v>
      </c>
      <c r="K149" s="1">
        <v>4.92</v>
      </c>
      <c r="L149" s="1">
        <v>0.89</v>
      </c>
      <c r="M149" s="1">
        <v>2.15</v>
      </c>
      <c r="N149" s="1">
        <v>590</v>
      </c>
      <c r="O149" s="1">
        <v>2</v>
      </c>
      <c r="R149" s="1">
        <f t="shared" si="45"/>
        <v>0.22631578947368403</v>
      </c>
      <c r="S149" s="1">
        <f t="shared" si="46"/>
        <v>-0.28063241106719361</v>
      </c>
      <c r="T149" s="1">
        <f t="shared" si="47"/>
        <v>5.8823529411764719E-2</v>
      </c>
      <c r="U149" s="1">
        <f t="shared" si="48"/>
        <v>-3.0927835051546282E-2</v>
      </c>
      <c r="V149" s="1">
        <f t="shared" si="49"/>
        <v>-0.58695652173913038</v>
      </c>
      <c r="W149" s="1">
        <f t="shared" si="50"/>
        <v>-0.71034482758620698</v>
      </c>
      <c r="X149" s="1">
        <f t="shared" si="51"/>
        <v>-0.9324894514767933</v>
      </c>
      <c r="Y149" s="1">
        <f t="shared" si="52"/>
        <v>-9.4339622641509524E-2</v>
      </c>
      <c r="Z149" s="1">
        <f t="shared" si="53"/>
        <v>-0.85488958990536279</v>
      </c>
      <c r="AA149" s="1">
        <f t="shared" si="54"/>
        <v>-0.26279863481228682</v>
      </c>
      <c r="AB149" s="1">
        <f t="shared" si="55"/>
        <v>-0.64227642276422769</v>
      </c>
      <c r="AC149" s="1">
        <f t="shared" si="56"/>
        <v>-0.12087912087912078</v>
      </c>
      <c r="AD149" s="1">
        <f t="shared" si="57"/>
        <v>-0.28388017118402287</v>
      </c>
      <c r="AE149" s="1">
        <v>2</v>
      </c>
    </row>
    <row r="150" spans="2:31" x14ac:dyDescent="0.2">
      <c r="B150" s="1">
        <v>12.93</v>
      </c>
      <c r="C150" s="1">
        <v>2.81</v>
      </c>
      <c r="D150" s="1">
        <v>2.7</v>
      </c>
      <c r="E150" s="1">
        <v>21</v>
      </c>
      <c r="F150" s="1">
        <v>96</v>
      </c>
      <c r="G150" s="1">
        <v>1.54</v>
      </c>
      <c r="H150" s="1">
        <v>0.5</v>
      </c>
      <c r="I150" s="1">
        <v>0.53</v>
      </c>
      <c r="J150" s="1">
        <v>0.75</v>
      </c>
      <c r="K150" s="1">
        <v>4.5999999999999996</v>
      </c>
      <c r="L150" s="1">
        <v>0.77</v>
      </c>
      <c r="M150" s="1">
        <v>2.31</v>
      </c>
      <c r="N150" s="1">
        <v>600</v>
      </c>
      <c r="O150" s="1">
        <v>2</v>
      </c>
      <c r="R150" s="1">
        <f t="shared" si="45"/>
        <v>0.31052631578947354</v>
      </c>
      <c r="S150" s="1">
        <f t="shared" si="46"/>
        <v>-3.9525691699604737E-2</v>
      </c>
      <c r="T150" s="1">
        <f t="shared" si="47"/>
        <v>0.45454545454545481</v>
      </c>
      <c r="U150" s="1">
        <f t="shared" si="48"/>
        <v>0.32989690721649501</v>
      </c>
      <c r="V150" s="1">
        <f t="shared" si="49"/>
        <v>-0.41304347826086951</v>
      </c>
      <c r="W150" s="1">
        <f t="shared" si="50"/>
        <v>-0.60689655172413781</v>
      </c>
      <c r="X150" s="1">
        <f t="shared" si="51"/>
        <v>-0.92405063291139244</v>
      </c>
      <c r="Y150" s="1">
        <f t="shared" si="52"/>
        <v>0.39622641509433953</v>
      </c>
      <c r="Z150" s="1">
        <f t="shared" si="53"/>
        <v>-0.91167192429022081</v>
      </c>
      <c r="AA150" s="1">
        <f t="shared" si="54"/>
        <v>-0.47610921501706494</v>
      </c>
      <c r="AB150" s="1">
        <f t="shared" si="55"/>
        <v>-0.33333333333333326</v>
      </c>
      <c r="AC150" s="1">
        <f t="shared" si="56"/>
        <v>-0.42124542124542119</v>
      </c>
      <c r="AD150" s="1">
        <f t="shared" si="57"/>
        <v>-0.65477888730385159</v>
      </c>
      <c r="AE150" s="1">
        <v>2</v>
      </c>
    </row>
    <row r="151" spans="2:31" x14ac:dyDescent="0.2">
      <c r="B151" s="1">
        <v>13.36</v>
      </c>
      <c r="C151" s="1">
        <v>2.56</v>
      </c>
      <c r="D151" s="1">
        <v>2.35</v>
      </c>
      <c r="E151" s="1">
        <v>20</v>
      </c>
      <c r="F151" s="1">
        <v>89</v>
      </c>
      <c r="G151" s="1">
        <v>1.4</v>
      </c>
      <c r="H151" s="1">
        <v>0.5</v>
      </c>
      <c r="I151" s="1">
        <v>0.37</v>
      </c>
      <c r="J151" s="1">
        <v>0.64</v>
      </c>
      <c r="K151" s="1">
        <v>5.6</v>
      </c>
      <c r="L151" s="1">
        <v>0.7</v>
      </c>
      <c r="M151" s="1">
        <v>2.4700000000000002</v>
      </c>
      <c r="N151" s="1">
        <v>780</v>
      </c>
      <c r="O151" s="1">
        <v>2</v>
      </c>
      <c r="R151" s="1">
        <f t="shared" si="45"/>
        <v>0.36315789473684168</v>
      </c>
      <c r="S151" s="1">
        <f t="shared" si="46"/>
        <v>0.66403162055335985</v>
      </c>
      <c r="T151" s="1">
        <f t="shared" si="47"/>
        <v>5.8823529411764719E-2</v>
      </c>
      <c r="U151" s="1">
        <f t="shared" si="48"/>
        <v>-3.0927835051546282E-2</v>
      </c>
      <c r="V151" s="1">
        <f t="shared" si="49"/>
        <v>-0.52173913043478259</v>
      </c>
      <c r="W151" s="1">
        <f t="shared" si="50"/>
        <v>-0.29655172413793096</v>
      </c>
      <c r="X151" s="1">
        <f t="shared" si="51"/>
        <v>-0.80590717299578063</v>
      </c>
      <c r="Y151" s="1">
        <f t="shared" si="52"/>
        <v>0.28301886792452802</v>
      </c>
      <c r="Z151" s="1">
        <f t="shared" si="53"/>
        <v>-0.6151419558359621</v>
      </c>
      <c r="AA151" s="1">
        <f t="shared" si="54"/>
        <v>-0.46757679180887368</v>
      </c>
      <c r="AB151" s="1">
        <f t="shared" si="55"/>
        <v>-0.30081300813008116</v>
      </c>
      <c r="AC151" s="1">
        <f t="shared" si="56"/>
        <v>-0.42857142857142871</v>
      </c>
      <c r="AD151" s="1">
        <f t="shared" si="57"/>
        <v>-0.61198288159771752</v>
      </c>
      <c r="AE151" s="1">
        <v>2</v>
      </c>
    </row>
    <row r="152" spans="2:31" x14ac:dyDescent="0.2">
      <c r="B152" s="1">
        <v>13.52</v>
      </c>
      <c r="C152" s="1">
        <v>3.17</v>
      </c>
      <c r="D152" s="1">
        <v>2.72</v>
      </c>
      <c r="E152" s="1">
        <v>23.5</v>
      </c>
      <c r="F152" s="1">
        <v>97</v>
      </c>
      <c r="G152" s="1">
        <v>1.55</v>
      </c>
      <c r="H152" s="1">
        <v>0.52</v>
      </c>
      <c r="I152" s="1">
        <v>0.5</v>
      </c>
      <c r="J152" s="1">
        <v>0.55000000000000004</v>
      </c>
      <c r="K152" s="1">
        <v>4.3499999999999996</v>
      </c>
      <c r="L152" s="1">
        <v>0.89</v>
      </c>
      <c r="M152" s="1">
        <v>2.06</v>
      </c>
      <c r="N152" s="1">
        <v>520</v>
      </c>
      <c r="O152" s="1">
        <v>2</v>
      </c>
      <c r="R152" s="1">
        <f t="shared" si="45"/>
        <v>-0.35789473684210504</v>
      </c>
      <c r="S152" s="1">
        <f t="shared" si="46"/>
        <v>0.24110671936758887</v>
      </c>
      <c r="T152" s="1">
        <f t="shared" si="47"/>
        <v>-0.10160427807486616</v>
      </c>
      <c r="U152" s="1">
        <f t="shared" si="48"/>
        <v>-0.18556701030927825</v>
      </c>
      <c r="V152" s="1">
        <f t="shared" si="49"/>
        <v>-8.6956521739130488E-2</v>
      </c>
      <c r="W152" s="1">
        <f t="shared" si="50"/>
        <v>-0.72413793103448287</v>
      </c>
      <c r="X152" s="1">
        <f t="shared" si="51"/>
        <v>-0.81434599156118148</v>
      </c>
      <c r="Y152" s="1">
        <f t="shared" si="52"/>
        <v>-0.39622641509433976</v>
      </c>
      <c r="Z152" s="1">
        <f t="shared" si="53"/>
        <v>-0.5394321766561514</v>
      </c>
      <c r="AA152" s="1">
        <f t="shared" si="54"/>
        <v>0.18259385665529004</v>
      </c>
      <c r="AB152" s="1">
        <f t="shared" si="55"/>
        <v>-0.72357723577235766</v>
      </c>
      <c r="AC152" s="1">
        <f t="shared" si="56"/>
        <v>-0.46520146520146521</v>
      </c>
      <c r="AD152" s="1">
        <f t="shared" si="57"/>
        <v>-0.17689015691868759</v>
      </c>
      <c r="AE152" s="1">
        <v>2</v>
      </c>
    </row>
    <row r="153" spans="2:31" x14ac:dyDescent="0.2">
      <c r="B153" s="1">
        <v>13.62</v>
      </c>
      <c r="C153" s="1">
        <v>4.95</v>
      </c>
      <c r="D153" s="1">
        <v>2.35</v>
      </c>
      <c r="E153" s="1">
        <v>20</v>
      </c>
      <c r="F153" s="1">
        <v>92</v>
      </c>
      <c r="G153" s="1">
        <v>2</v>
      </c>
      <c r="H153" s="1">
        <v>0.8</v>
      </c>
      <c r="I153" s="1">
        <v>0.47</v>
      </c>
      <c r="J153" s="1">
        <v>1.02</v>
      </c>
      <c r="K153" s="1">
        <v>4.4000000000000004</v>
      </c>
      <c r="L153" s="1">
        <v>0.91</v>
      </c>
      <c r="M153" s="1">
        <v>2.0499999999999998</v>
      </c>
      <c r="N153" s="1">
        <v>550</v>
      </c>
      <c r="O153" s="1">
        <v>2</v>
      </c>
      <c r="R153" s="1">
        <f t="shared" si="45"/>
        <v>0.12105263157894752</v>
      </c>
      <c r="S153" s="1">
        <f t="shared" si="46"/>
        <v>0.11857707509881443</v>
      </c>
      <c r="T153" s="1">
        <f t="shared" si="47"/>
        <v>-0.15508021390374349</v>
      </c>
      <c r="U153" s="1">
        <f t="shared" si="48"/>
        <v>7.2164948453608435E-2</v>
      </c>
      <c r="V153" s="1">
        <f t="shared" si="49"/>
        <v>-0.30434782608695654</v>
      </c>
      <c r="W153" s="1">
        <f t="shared" si="50"/>
        <v>-0.64137931034482754</v>
      </c>
      <c r="X153" s="1">
        <f t="shared" si="51"/>
        <v>-0.91139240506329111</v>
      </c>
      <c r="Y153" s="1">
        <f t="shared" si="52"/>
        <v>0.13207547169811318</v>
      </c>
      <c r="Z153" s="1">
        <f t="shared" si="53"/>
        <v>-0.43848580441640372</v>
      </c>
      <c r="AA153" s="1">
        <f t="shared" si="54"/>
        <v>-0.53583617747440282</v>
      </c>
      <c r="AB153" s="1">
        <f t="shared" si="55"/>
        <v>-0.80487804878048785</v>
      </c>
      <c r="AC153" s="1">
        <f t="shared" si="56"/>
        <v>-0.6996336996336997</v>
      </c>
      <c r="AD153" s="1">
        <f t="shared" si="57"/>
        <v>-0.21255349500713272</v>
      </c>
      <c r="AE153" s="1">
        <v>2</v>
      </c>
    </row>
    <row r="154" spans="2:31" x14ac:dyDescent="0.2">
      <c r="B154" s="1">
        <v>12.25</v>
      </c>
      <c r="C154" s="1">
        <v>3.88</v>
      </c>
      <c r="D154" s="1">
        <v>2.2000000000000002</v>
      </c>
      <c r="E154" s="1">
        <v>18.5</v>
      </c>
      <c r="F154" s="1">
        <v>112</v>
      </c>
      <c r="G154" s="1">
        <v>1.38</v>
      </c>
      <c r="H154" s="1">
        <v>0.78</v>
      </c>
      <c r="I154" s="1">
        <v>0.28999999999999998</v>
      </c>
      <c r="J154" s="1">
        <v>1.1399999999999999</v>
      </c>
      <c r="K154" s="1">
        <v>8.2100000000000009</v>
      </c>
      <c r="L154" s="1">
        <v>0.65</v>
      </c>
      <c r="M154" s="1">
        <v>2</v>
      </c>
      <c r="N154" s="1">
        <v>855</v>
      </c>
      <c r="O154" s="1">
        <v>2</v>
      </c>
      <c r="R154" s="1">
        <f t="shared" si="45"/>
        <v>0.50000000000000044</v>
      </c>
      <c r="S154" s="1">
        <f t="shared" si="46"/>
        <v>0.69960474308300391</v>
      </c>
      <c r="T154" s="1">
        <f t="shared" si="47"/>
        <v>-6.9518716577540163E-2</v>
      </c>
      <c r="U154" s="1">
        <f t="shared" si="48"/>
        <v>-3.0927835051546282E-2</v>
      </c>
      <c r="V154" s="1">
        <f t="shared" si="49"/>
        <v>-0.78260869565217395</v>
      </c>
      <c r="W154" s="1">
        <f t="shared" si="50"/>
        <v>-1</v>
      </c>
      <c r="X154" s="1">
        <f t="shared" si="51"/>
        <v>-1</v>
      </c>
      <c r="Y154" s="1">
        <f t="shared" si="52"/>
        <v>1.8867924528301883E-2</v>
      </c>
      <c r="Z154" s="1">
        <f t="shared" si="53"/>
        <v>-0.82965299684542582</v>
      </c>
      <c r="AA154" s="1">
        <f t="shared" si="54"/>
        <v>-0.38225255972696248</v>
      </c>
      <c r="AB154" s="1">
        <f t="shared" si="55"/>
        <v>-0.83739837398373984</v>
      </c>
      <c r="AC154" s="1">
        <f t="shared" si="56"/>
        <v>-0.95604395604395598</v>
      </c>
      <c r="AD154" s="1">
        <f t="shared" si="57"/>
        <v>-0.80456490727532093</v>
      </c>
      <c r="AE154" s="1">
        <v>2</v>
      </c>
    </row>
    <row r="155" spans="2:31" x14ac:dyDescent="0.2">
      <c r="B155" s="1">
        <v>13.16</v>
      </c>
      <c r="C155" s="1">
        <v>3.57</v>
      </c>
      <c r="D155" s="1">
        <v>2.15</v>
      </c>
      <c r="E155" s="1">
        <v>21</v>
      </c>
      <c r="F155" s="1">
        <v>102</v>
      </c>
      <c r="G155" s="1">
        <v>1.5</v>
      </c>
      <c r="H155" s="1">
        <v>0.55000000000000004</v>
      </c>
      <c r="I155" s="1">
        <v>0.43</v>
      </c>
      <c r="J155" s="1">
        <v>1.3</v>
      </c>
      <c r="K155" s="1">
        <v>4</v>
      </c>
      <c r="L155" s="1">
        <v>0.6</v>
      </c>
      <c r="M155" s="1">
        <v>1.68</v>
      </c>
      <c r="N155" s="1">
        <v>830</v>
      </c>
      <c r="O155" s="1">
        <v>2</v>
      </c>
      <c r="R155" s="1">
        <f t="shared" si="45"/>
        <v>-3.1578947368421262E-2</v>
      </c>
      <c r="S155" s="1">
        <f t="shared" si="46"/>
        <v>0.52964426877470361</v>
      </c>
      <c r="T155" s="1">
        <f t="shared" si="47"/>
        <v>0.19786096256684482</v>
      </c>
      <c r="U155" s="1">
        <f t="shared" si="48"/>
        <v>0.12371134020618579</v>
      </c>
      <c r="V155" s="1">
        <f t="shared" si="49"/>
        <v>-0.65217391304347827</v>
      </c>
      <c r="W155" s="1">
        <f t="shared" si="50"/>
        <v>-0.50344827586206897</v>
      </c>
      <c r="X155" s="1">
        <f t="shared" si="51"/>
        <v>-0.86919831223628696</v>
      </c>
      <c r="Y155" s="1">
        <f t="shared" si="52"/>
        <v>0.28301886792452802</v>
      </c>
      <c r="Z155" s="1">
        <f t="shared" si="53"/>
        <v>-0.71608832807570977</v>
      </c>
      <c r="AA155" s="1">
        <f t="shared" si="54"/>
        <v>8.703071672354934E-2</v>
      </c>
      <c r="AB155" s="1">
        <f t="shared" si="55"/>
        <v>-0.90243902439024382</v>
      </c>
      <c r="AC155" s="1">
        <f t="shared" si="56"/>
        <v>-0.56776556776556775</v>
      </c>
      <c r="AD155" s="1">
        <f t="shared" si="57"/>
        <v>-0.50499286733238224</v>
      </c>
      <c r="AE155" s="1">
        <v>2</v>
      </c>
    </row>
    <row r="156" spans="2:31" x14ac:dyDescent="0.2">
      <c r="B156" s="1">
        <v>13.88</v>
      </c>
      <c r="C156" s="1">
        <v>5.04</v>
      </c>
      <c r="D156" s="1">
        <v>2.23</v>
      </c>
      <c r="E156" s="1">
        <v>20</v>
      </c>
      <c r="F156" s="1">
        <v>80</v>
      </c>
      <c r="G156" s="1">
        <v>0.98</v>
      </c>
      <c r="H156" s="1">
        <v>0.34</v>
      </c>
      <c r="I156" s="1">
        <v>0.4</v>
      </c>
      <c r="J156" s="1">
        <v>0.68</v>
      </c>
      <c r="K156" s="1">
        <v>4.9000000000000004</v>
      </c>
      <c r="L156" s="1">
        <v>0.57999999999999996</v>
      </c>
      <c r="M156" s="1">
        <v>1.33</v>
      </c>
      <c r="N156" s="1">
        <v>415</v>
      </c>
      <c r="O156" s="1">
        <v>2</v>
      </c>
      <c r="R156" s="1">
        <f t="shared" si="45"/>
        <v>0.20526315789473704</v>
      </c>
      <c r="S156" s="1">
        <f t="shared" si="46"/>
        <v>-1.1857707509881354E-2</v>
      </c>
      <c r="T156" s="1">
        <f t="shared" si="47"/>
        <v>9.0909090909090828E-2</v>
      </c>
      <c r="U156" s="1">
        <f t="shared" si="48"/>
        <v>0.12371134020618579</v>
      </c>
      <c r="V156" s="1">
        <f t="shared" si="49"/>
        <v>-0.52173913043478259</v>
      </c>
      <c r="W156" s="1">
        <f t="shared" si="50"/>
        <v>-0.34482758620689657</v>
      </c>
      <c r="X156" s="1">
        <f t="shared" si="51"/>
        <v>-0.82278481012658233</v>
      </c>
      <c r="Y156" s="1">
        <f t="shared" si="52"/>
        <v>0.20754716981132071</v>
      </c>
      <c r="Z156" s="1">
        <f t="shared" si="53"/>
        <v>-0.47003154574132489</v>
      </c>
      <c r="AA156" s="1">
        <f t="shared" si="54"/>
        <v>0.21843003412969275</v>
      </c>
      <c r="AB156" s="1">
        <f t="shared" si="55"/>
        <v>-0.88617886178861782</v>
      </c>
      <c r="AC156" s="1">
        <f t="shared" si="56"/>
        <v>-0.7435897435897435</v>
      </c>
      <c r="AD156" s="1">
        <f t="shared" si="57"/>
        <v>-0.46932952924393723</v>
      </c>
      <c r="AE156" s="1">
        <v>2</v>
      </c>
    </row>
    <row r="157" spans="2:31" x14ac:dyDescent="0.2">
      <c r="B157" s="1">
        <v>12.87</v>
      </c>
      <c r="C157" s="1">
        <v>4.6100000000000003</v>
      </c>
      <c r="D157" s="1">
        <v>2.48</v>
      </c>
      <c r="E157" s="1">
        <v>21.5</v>
      </c>
      <c r="F157" s="1">
        <v>86</v>
      </c>
      <c r="G157" s="1">
        <v>1.7</v>
      </c>
      <c r="H157" s="1">
        <v>0.65</v>
      </c>
      <c r="I157" s="1">
        <v>0.47</v>
      </c>
      <c r="J157" s="1">
        <v>0.86</v>
      </c>
      <c r="K157" s="1">
        <v>7.65</v>
      </c>
      <c r="L157" s="1">
        <v>0.54</v>
      </c>
      <c r="M157" s="1">
        <v>1.86</v>
      </c>
      <c r="N157" s="1">
        <v>625</v>
      </c>
      <c r="O157" s="1">
        <v>2</v>
      </c>
      <c r="R157" s="1">
        <f t="shared" si="45"/>
        <v>7.8947368421052877E-2</v>
      </c>
      <c r="S157" s="1">
        <f t="shared" si="46"/>
        <v>0.24901185770751</v>
      </c>
      <c r="T157" s="1">
        <f t="shared" si="47"/>
        <v>6.9518716577539941E-2</v>
      </c>
      <c r="U157" s="1">
        <f t="shared" si="48"/>
        <v>0.12371134020618579</v>
      </c>
      <c r="V157" s="1">
        <f t="shared" si="49"/>
        <v>-6.5217391304347783E-2</v>
      </c>
      <c r="W157" s="1">
        <f t="shared" si="50"/>
        <v>-0.70344827586206904</v>
      </c>
      <c r="X157" s="1">
        <f t="shared" si="51"/>
        <v>-0.55696202531645578</v>
      </c>
      <c r="Y157" s="1">
        <f t="shared" si="52"/>
        <v>-0.20754716981132071</v>
      </c>
      <c r="Z157" s="1">
        <f t="shared" si="53"/>
        <v>-0.5394321766561514</v>
      </c>
      <c r="AA157" s="1">
        <f t="shared" si="54"/>
        <v>0.38566552901023909</v>
      </c>
      <c r="AB157" s="1">
        <f t="shared" si="55"/>
        <v>-0.85365853658536595</v>
      </c>
      <c r="AC157" s="1">
        <f t="shared" si="56"/>
        <v>-0.95604395604395598</v>
      </c>
      <c r="AD157" s="1">
        <f t="shared" si="57"/>
        <v>-0.61198288159771752</v>
      </c>
      <c r="AE157" s="1">
        <v>2</v>
      </c>
    </row>
    <row r="158" spans="2:31" x14ac:dyDescent="0.2">
      <c r="B158" s="1">
        <v>13.32</v>
      </c>
      <c r="C158" s="1">
        <v>3.24</v>
      </c>
      <c r="D158" s="1">
        <v>2.38</v>
      </c>
      <c r="E158" s="1">
        <v>21.5</v>
      </c>
      <c r="F158" s="1">
        <v>92</v>
      </c>
      <c r="G158" s="1">
        <v>1.93</v>
      </c>
      <c r="H158" s="1">
        <v>0.76</v>
      </c>
      <c r="I158" s="1">
        <v>0.45</v>
      </c>
      <c r="J158" s="1">
        <v>1.25</v>
      </c>
      <c r="K158" s="1">
        <v>8.42</v>
      </c>
      <c r="L158" s="1">
        <v>0.55000000000000004</v>
      </c>
      <c r="M158" s="1">
        <v>1.62</v>
      </c>
      <c r="N158" s="1">
        <v>650</v>
      </c>
      <c r="O158" s="1">
        <v>2</v>
      </c>
      <c r="R158" s="1">
        <f t="shared" si="45"/>
        <v>0.30000000000000004</v>
      </c>
      <c r="S158" s="1">
        <f t="shared" si="46"/>
        <v>-5.9288537549407105E-2</v>
      </c>
      <c r="T158" s="1">
        <f t="shared" si="47"/>
        <v>0.34759358288770059</v>
      </c>
      <c r="U158" s="1">
        <f t="shared" si="48"/>
        <v>0.38144329896907236</v>
      </c>
      <c r="V158" s="1">
        <f t="shared" si="49"/>
        <v>0.15217391304347827</v>
      </c>
      <c r="W158" s="1">
        <f t="shared" si="50"/>
        <v>-0.71034482758620698</v>
      </c>
      <c r="X158" s="1">
        <f t="shared" si="51"/>
        <v>-0.48101265822784811</v>
      </c>
      <c r="Y158" s="1">
        <f t="shared" si="52"/>
        <v>-0.66037735849056611</v>
      </c>
      <c r="Z158" s="1">
        <f t="shared" si="53"/>
        <v>-0.47003154574132489</v>
      </c>
      <c r="AA158" s="1">
        <f t="shared" si="54"/>
        <v>0.24914675767918082</v>
      </c>
      <c r="AB158" s="1">
        <f t="shared" si="55"/>
        <v>-0.82113821138211385</v>
      </c>
      <c r="AC158" s="1">
        <f t="shared" si="56"/>
        <v>-0.97802197802197799</v>
      </c>
      <c r="AD158" s="1">
        <f t="shared" si="57"/>
        <v>-0.68330955777460778</v>
      </c>
      <c r="AE158" s="1">
        <v>2</v>
      </c>
    </row>
    <row r="159" spans="2:31" x14ac:dyDescent="0.2">
      <c r="B159" s="1">
        <v>13.08</v>
      </c>
      <c r="C159" s="1">
        <v>3.9</v>
      </c>
      <c r="D159" s="1">
        <v>2.36</v>
      </c>
      <c r="E159" s="1">
        <v>21.5</v>
      </c>
      <c r="F159" s="1">
        <v>113</v>
      </c>
      <c r="G159" s="1">
        <v>1.41</v>
      </c>
      <c r="H159" s="1">
        <v>1.39</v>
      </c>
      <c r="I159" s="1">
        <v>0.34</v>
      </c>
      <c r="J159" s="1">
        <v>1.1399999999999999</v>
      </c>
      <c r="K159" s="1">
        <v>9.4</v>
      </c>
      <c r="L159" s="1">
        <v>0.56999999999999995</v>
      </c>
      <c r="M159" s="1">
        <v>1.33</v>
      </c>
      <c r="N159" s="1">
        <v>550</v>
      </c>
      <c r="O159" s="1">
        <v>2</v>
      </c>
      <c r="R159" s="1">
        <f t="shared" si="45"/>
        <v>-7.368421052631613E-2</v>
      </c>
      <c r="S159" s="1">
        <f t="shared" si="46"/>
        <v>-0.23715415019762842</v>
      </c>
      <c r="T159" s="1">
        <f t="shared" si="47"/>
        <v>0.19786096256684482</v>
      </c>
      <c r="U159" s="1">
        <f t="shared" si="48"/>
        <v>0.17525773195876293</v>
      </c>
      <c r="V159" s="1">
        <f t="shared" si="49"/>
        <v>-8.6956521739130488E-2</v>
      </c>
      <c r="W159" s="1">
        <f t="shared" si="50"/>
        <v>-0.65517241379310343</v>
      </c>
      <c r="X159" s="1">
        <f t="shared" si="51"/>
        <v>-0.569620253164557</v>
      </c>
      <c r="Y159" s="1">
        <f t="shared" si="52"/>
        <v>-0.58490566037735858</v>
      </c>
      <c r="Z159" s="1">
        <f t="shared" si="53"/>
        <v>-0.46372239747634059</v>
      </c>
      <c r="AA159" s="1">
        <f t="shared" si="54"/>
        <v>0.62457337883959063</v>
      </c>
      <c r="AB159" s="1">
        <f t="shared" si="55"/>
        <v>-1</v>
      </c>
      <c r="AC159" s="1">
        <f t="shared" si="56"/>
        <v>-0.85347985347985356</v>
      </c>
      <c r="AD159" s="1">
        <f t="shared" si="57"/>
        <v>-0.71184022824536375</v>
      </c>
      <c r="AE159" s="1">
        <v>2</v>
      </c>
    </row>
    <row r="160" spans="2:31" x14ac:dyDescent="0.2">
      <c r="B160" s="1">
        <v>13.5</v>
      </c>
      <c r="C160" s="1">
        <v>3.12</v>
      </c>
      <c r="D160" s="1">
        <v>2.62</v>
      </c>
      <c r="E160" s="1">
        <v>24</v>
      </c>
      <c r="F160" s="1">
        <v>123</v>
      </c>
      <c r="G160" s="1">
        <v>1.4</v>
      </c>
      <c r="H160" s="1">
        <v>1.57</v>
      </c>
      <c r="I160" s="1">
        <v>0.22</v>
      </c>
      <c r="J160" s="1">
        <v>1.25</v>
      </c>
      <c r="K160" s="1">
        <v>8.6</v>
      </c>
      <c r="L160" s="1">
        <v>0.59</v>
      </c>
      <c r="M160" s="1">
        <v>1.3</v>
      </c>
      <c r="N160" s="1">
        <v>500</v>
      </c>
      <c r="O160" s="1">
        <v>2</v>
      </c>
      <c r="R160" s="1">
        <f t="shared" si="45"/>
        <v>9.4736842105263008E-2</v>
      </c>
      <c r="S160" s="1">
        <f t="shared" si="46"/>
        <v>-0.54150197628458496</v>
      </c>
      <c r="T160" s="1">
        <f t="shared" si="47"/>
        <v>0.4866310160427807</v>
      </c>
      <c r="U160" s="1">
        <f t="shared" si="48"/>
        <v>0.53608247422680422</v>
      </c>
      <c r="V160" s="1">
        <f t="shared" si="49"/>
        <v>0</v>
      </c>
      <c r="W160" s="1">
        <f t="shared" si="50"/>
        <v>-0.15862068965517229</v>
      </c>
      <c r="X160" s="1">
        <f t="shared" si="51"/>
        <v>-0.6033755274261603</v>
      </c>
      <c r="Y160" s="1">
        <f t="shared" si="52"/>
        <v>-0.50943396226415094</v>
      </c>
      <c r="Z160" s="1">
        <f t="shared" si="53"/>
        <v>-0.27444794952681373</v>
      </c>
      <c r="AA160" s="1">
        <f t="shared" si="54"/>
        <v>-6.8259385665531136E-3</v>
      </c>
      <c r="AB160" s="1">
        <f t="shared" si="55"/>
        <v>-0.78861788617886175</v>
      </c>
      <c r="AC160" s="1">
        <f t="shared" si="56"/>
        <v>-0.95604395604395598</v>
      </c>
      <c r="AD160" s="1">
        <f t="shared" si="57"/>
        <v>-0.79029957203994294</v>
      </c>
      <c r="AE160" s="1">
        <v>2</v>
      </c>
    </row>
    <row r="161" spans="2:31" x14ac:dyDescent="0.2">
      <c r="B161" s="1">
        <v>12.79</v>
      </c>
      <c r="C161" s="1">
        <v>2.67</v>
      </c>
      <c r="D161" s="1">
        <v>2.48</v>
      </c>
      <c r="E161" s="1">
        <v>22</v>
      </c>
      <c r="F161" s="1">
        <v>112</v>
      </c>
      <c r="G161" s="1">
        <v>1.48</v>
      </c>
      <c r="H161" s="1">
        <v>1.36</v>
      </c>
      <c r="I161" s="1">
        <v>0.24</v>
      </c>
      <c r="J161" s="1">
        <v>1.26</v>
      </c>
      <c r="K161" s="1">
        <v>10.8</v>
      </c>
      <c r="L161" s="1">
        <v>0.48</v>
      </c>
      <c r="M161" s="1">
        <v>1.47</v>
      </c>
      <c r="N161" s="1">
        <v>480</v>
      </c>
      <c r="O161" s="1">
        <v>2</v>
      </c>
      <c r="R161" s="1">
        <f t="shared" si="45"/>
        <v>0.15789473684210553</v>
      </c>
      <c r="S161" s="1">
        <f t="shared" si="46"/>
        <v>1.1857707509881354E-2</v>
      </c>
      <c r="T161" s="1">
        <f t="shared" si="47"/>
        <v>-1.6042780748663388E-2</v>
      </c>
      <c r="U161" s="1">
        <f t="shared" si="48"/>
        <v>-0.18556701030927825</v>
      </c>
      <c r="V161" s="1">
        <f t="shared" si="49"/>
        <v>-0.39130434782608692</v>
      </c>
      <c r="W161" s="1">
        <f t="shared" si="50"/>
        <v>-0.43448275862068964</v>
      </c>
      <c r="X161" s="1">
        <f t="shared" si="51"/>
        <v>-0.79324894514767941</v>
      </c>
      <c r="Y161" s="1">
        <f t="shared" si="52"/>
        <v>0.81132075471698095</v>
      </c>
      <c r="Z161" s="1">
        <f t="shared" si="53"/>
        <v>-7.8864353312302682E-2</v>
      </c>
      <c r="AA161" s="1">
        <f t="shared" si="54"/>
        <v>0.57679180887372006</v>
      </c>
      <c r="AB161" s="1">
        <f t="shared" si="55"/>
        <v>-0.86991869918699172</v>
      </c>
      <c r="AC161" s="1">
        <f t="shared" si="56"/>
        <v>-0.82417582417582413</v>
      </c>
      <c r="AD161" s="1">
        <f t="shared" si="57"/>
        <v>-0.43366619115549221</v>
      </c>
      <c r="AE161" s="1">
        <v>2</v>
      </c>
    </row>
    <row r="162" spans="2:31" x14ac:dyDescent="0.2">
      <c r="B162" s="1">
        <v>13.11</v>
      </c>
      <c r="C162" s="1">
        <v>1.9</v>
      </c>
      <c r="D162" s="1">
        <v>2.75</v>
      </c>
      <c r="E162" s="1">
        <v>25.5</v>
      </c>
      <c r="F162" s="1">
        <v>116</v>
      </c>
      <c r="G162" s="1">
        <v>2.2000000000000002</v>
      </c>
      <c r="H162" s="1">
        <v>1.28</v>
      </c>
      <c r="I162" s="1">
        <v>0.26</v>
      </c>
      <c r="J162" s="1">
        <v>1.56</v>
      </c>
      <c r="K162" s="1">
        <v>7.1</v>
      </c>
      <c r="L162" s="1">
        <v>0.61</v>
      </c>
      <c r="M162" s="1">
        <v>1.33</v>
      </c>
      <c r="N162" s="1">
        <v>425</v>
      </c>
      <c r="O162" s="1">
        <v>2</v>
      </c>
      <c r="R162" s="1">
        <f t="shared" si="45"/>
        <v>-0.18421052631578927</v>
      </c>
      <c r="S162" s="1">
        <f t="shared" si="46"/>
        <v>-0.78260869565217384</v>
      </c>
      <c r="T162" s="1">
        <f t="shared" si="47"/>
        <v>-0.20855614973262027</v>
      </c>
      <c r="U162" s="1">
        <f t="shared" si="48"/>
        <v>-3.0927835051546282E-2</v>
      </c>
      <c r="V162" s="1">
        <f t="shared" si="49"/>
        <v>-0.28260869565217395</v>
      </c>
      <c r="W162" s="1">
        <f t="shared" si="50"/>
        <v>-0.65517241379310343</v>
      </c>
      <c r="X162" s="1">
        <f t="shared" si="51"/>
        <v>-0.89873417721518989</v>
      </c>
      <c r="Y162" s="1">
        <f t="shared" si="52"/>
        <v>0.50943396226415105</v>
      </c>
      <c r="Z162" s="1">
        <f t="shared" si="53"/>
        <v>-0.37539432176656151</v>
      </c>
      <c r="AA162" s="1">
        <f t="shared" si="54"/>
        <v>7.8498293515358197E-2</v>
      </c>
      <c r="AB162" s="1">
        <f t="shared" si="55"/>
        <v>-0.83739837398373984</v>
      </c>
      <c r="AC162" s="1">
        <f t="shared" si="56"/>
        <v>-0.79487179487179482</v>
      </c>
      <c r="AD162" s="1">
        <f t="shared" si="57"/>
        <v>-0.48359486447931521</v>
      </c>
      <c r="AE162" s="1">
        <v>2</v>
      </c>
    </row>
    <row r="163" spans="2:31" x14ac:dyDescent="0.2">
      <c r="B163" s="1">
        <v>13.23</v>
      </c>
      <c r="C163" s="1">
        <v>3.3</v>
      </c>
      <c r="D163" s="1">
        <v>2.2799999999999998</v>
      </c>
      <c r="E163" s="1">
        <v>18.5</v>
      </c>
      <c r="F163" s="1">
        <v>98</v>
      </c>
      <c r="G163" s="1">
        <v>1.8</v>
      </c>
      <c r="H163" s="1">
        <v>0.83</v>
      </c>
      <c r="I163" s="1">
        <v>0.61</v>
      </c>
      <c r="J163" s="1">
        <v>1.87</v>
      </c>
      <c r="K163" s="1">
        <v>10.52</v>
      </c>
      <c r="L163" s="1">
        <v>0.56000000000000005</v>
      </c>
      <c r="M163" s="1">
        <v>1.51</v>
      </c>
      <c r="N163" s="1">
        <v>675</v>
      </c>
      <c r="O163" s="1">
        <v>2</v>
      </c>
      <c r="R163" s="1">
        <f t="shared" si="45"/>
        <v>0.12631578947368438</v>
      </c>
      <c r="S163" s="1">
        <f t="shared" si="46"/>
        <v>0.75889328063241135</v>
      </c>
      <c r="T163" s="1">
        <f t="shared" si="47"/>
        <v>2.6737967914438387E-2</v>
      </c>
      <c r="U163" s="1">
        <f t="shared" si="48"/>
        <v>0.17525773195876293</v>
      </c>
      <c r="V163" s="1">
        <f t="shared" si="49"/>
        <v>-0.5</v>
      </c>
      <c r="W163" s="1">
        <f t="shared" si="50"/>
        <v>-0.47586206896551719</v>
      </c>
      <c r="X163" s="1">
        <f t="shared" si="51"/>
        <v>-0.87763713080168781</v>
      </c>
      <c r="Y163" s="1">
        <f t="shared" si="52"/>
        <v>0.81132075471698095</v>
      </c>
      <c r="Z163" s="1">
        <f t="shared" si="53"/>
        <v>-0.28075709779179803</v>
      </c>
      <c r="AA163" s="1">
        <f t="shared" si="54"/>
        <v>0.12969283276450505</v>
      </c>
      <c r="AB163" s="1">
        <f t="shared" si="55"/>
        <v>-0.80487804878048785</v>
      </c>
      <c r="AC163" s="1">
        <f t="shared" si="56"/>
        <v>-0.84615384615384615</v>
      </c>
      <c r="AD163" s="1">
        <f t="shared" si="57"/>
        <v>-0.36233951497860195</v>
      </c>
      <c r="AE163" s="1">
        <v>2</v>
      </c>
    </row>
    <row r="164" spans="2:31" x14ac:dyDescent="0.2">
      <c r="B164" s="1">
        <v>12.58</v>
      </c>
      <c r="C164" s="1">
        <v>1.29</v>
      </c>
      <c r="D164" s="1">
        <v>2.1</v>
      </c>
      <c r="E164" s="1">
        <v>20</v>
      </c>
      <c r="F164" s="1">
        <v>103</v>
      </c>
      <c r="G164" s="1">
        <v>1.48</v>
      </c>
      <c r="H164" s="1">
        <v>0.57999999999999996</v>
      </c>
      <c r="I164" s="1">
        <v>0.53</v>
      </c>
      <c r="J164" s="1">
        <v>1.4</v>
      </c>
      <c r="K164" s="1">
        <v>7.6</v>
      </c>
      <c r="L164" s="1">
        <v>0.57999999999999996</v>
      </c>
      <c r="M164" s="1">
        <v>1.55</v>
      </c>
      <c r="N164" s="1">
        <v>640</v>
      </c>
      <c r="O164" s="1">
        <v>2</v>
      </c>
      <c r="R164" s="1">
        <f t="shared" si="45"/>
        <v>0.47894736842105257</v>
      </c>
      <c r="S164" s="1">
        <f t="shared" si="46"/>
        <v>0.33596837944664038</v>
      </c>
      <c r="T164" s="1">
        <f t="shared" si="47"/>
        <v>9.0909090909090828E-2</v>
      </c>
      <c r="U164" s="1">
        <f t="shared" si="48"/>
        <v>-8.247422680412364E-2</v>
      </c>
      <c r="V164" s="1">
        <f t="shared" si="49"/>
        <v>-0.58695652173913038</v>
      </c>
      <c r="W164" s="1">
        <f t="shared" si="50"/>
        <v>-0.43448275862068964</v>
      </c>
      <c r="X164" s="1">
        <f t="shared" si="51"/>
        <v>-0.79324894514767941</v>
      </c>
      <c r="Y164" s="1">
        <f t="shared" si="52"/>
        <v>0.320754716981132</v>
      </c>
      <c r="Z164" s="1">
        <f t="shared" si="53"/>
        <v>-0.27444794952681373</v>
      </c>
      <c r="AA164" s="1">
        <f t="shared" si="54"/>
        <v>0.31911262798634787</v>
      </c>
      <c r="AB164" s="1">
        <f t="shared" si="55"/>
        <v>-0.85365853658536595</v>
      </c>
      <c r="AC164" s="1">
        <f t="shared" si="56"/>
        <v>-0.72893772893772901</v>
      </c>
      <c r="AD164" s="1">
        <f t="shared" si="57"/>
        <v>-0.71184022824536375</v>
      </c>
      <c r="AE164" s="1">
        <v>2</v>
      </c>
    </row>
    <row r="165" spans="2:31" x14ac:dyDescent="0.2">
      <c r="B165" s="1">
        <v>13.17</v>
      </c>
      <c r="C165" s="1">
        <v>5.19</v>
      </c>
      <c r="D165" s="1">
        <v>2.3199999999999998</v>
      </c>
      <c r="E165" s="1">
        <v>22</v>
      </c>
      <c r="F165" s="1">
        <v>93</v>
      </c>
      <c r="G165" s="1">
        <v>1.74</v>
      </c>
      <c r="H165" s="1">
        <v>0.63</v>
      </c>
      <c r="I165" s="1">
        <v>0.61</v>
      </c>
      <c r="J165" s="1">
        <v>1.55</v>
      </c>
      <c r="K165" s="1">
        <v>7.9</v>
      </c>
      <c r="L165" s="1">
        <v>0.6</v>
      </c>
      <c r="M165" s="1">
        <v>1.48</v>
      </c>
      <c r="N165" s="1">
        <v>725</v>
      </c>
      <c r="O165" s="1">
        <v>2</v>
      </c>
      <c r="R165" s="1">
        <f t="shared" si="45"/>
        <v>-0.25263157894736865</v>
      </c>
      <c r="S165" s="1">
        <f t="shared" si="46"/>
        <v>-9.486166007905128E-2</v>
      </c>
      <c r="T165" s="1">
        <f t="shared" si="47"/>
        <v>0.36898395721925148</v>
      </c>
      <c r="U165" s="1">
        <f t="shared" si="48"/>
        <v>0.69072164948453607</v>
      </c>
      <c r="V165" s="1">
        <f t="shared" si="49"/>
        <v>-0.41304347826086951</v>
      </c>
      <c r="W165" s="1">
        <f t="shared" si="50"/>
        <v>-0.36551724137931041</v>
      </c>
      <c r="X165" s="1">
        <f t="shared" si="51"/>
        <v>-0.89873417721518989</v>
      </c>
      <c r="Y165" s="1">
        <f t="shared" si="52"/>
        <v>0.88679245283018848</v>
      </c>
      <c r="Z165" s="1">
        <f t="shared" si="53"/>
        <v>-0.5394321766561514</v>
      </c>
      <c r="AA165" s="1">
        <f t="shared" si="54"/>
        <v>6.1433447098975913E-2</v>
      </c>
      <c r="AB165" s="1">
        <f t="shared" si="55"/>
        <v>-0.69105691056910556</v>
      </c>
      <c r="AC165" s="1">
        <f t="shared" si="56"/>
        <v>-0.66300366300366309</v>
      </c>
      <c r="AD165" s="1">
        <f t="shared" si="57"/>
        <v>-0.14122681883024246</v>
      </c>
      <c r="AE165" s="1">
        <v>2</v>
      </c>
    </row>
    <row r="166" spans="2:31" x14ac:dyDescent="0.2">
      <c r="B166" s="1">
        <v>13.84</v>
      </c>
      <c r="C166" s="1">
        <v>4.12</v>
      </c>
      <c r="D166" s="1">
        <v>2.38</v>
      </c>
      <c r="E166" s="1">
        <v>19.5</v>
      </c>
      <c r="F166" s="1">
        <v>89</v>
      </c>
      <c r="G166" s="1">
        <v>1.8</v>
      </c>
      <c r="H166" s="1">
        <v>0.83</v>
      </c>
      <c r="I166" s="1">
        <v>0.48</v>
      </c>
      <c r="J166" s="1">
        <v>1.56</v>
      </c>
      <c r="K166" s="1">
        <v>9.01</v>
      </c>
      <c r="L166" s="1">
        <v>0.56999999999999995</v>
      </c>
      <c r="M166" s="1">
        <v>1.64</v>
      </c>
      <c r="N166" s="1">
        <v>480</v>
      </c>
      <c r="O166" s="1">
        <v>2</v>
      </c>
      <c r="R166" s="1">
        <f t="shared" si="45"/>
        <v>0.7421052631578946</v>
      </c>
      <c r="S166" s="1">
        <f t="shared" si="46"/>
        <v>-0.62845849802371534</v>
      </c>
      <c r="T166" s="1">
        <f t="shared" si="47"/>
        <v>0.43315508021390392</v>
      </c>
      <c r="U166" s="1">
        <f t="shared" si="48"/>
        <v>0.48453608247422686</v>
      </c>
      <c r="V166" s="1">
        <f t="shared" si="49"/>
        <v>-0.39130434782608692</v>
      </c>
      <c r="W166" s="1">
        <f t="shared" si="50"/>
        <v>0.25517241379310329</v>
      </c>
      <c r="X166" s="1">
        <f t="shared" si="51"/>
        <v>-0.59071729957805907</v>
      </c>
      <c r="Y166" s="1">
        <f t="shared" si="52"/>
        <v>0.50943396226415105</v>
      </c>
      <c r="Z166" s="1">
        <f t="shared" si="53"/>
        <v>0.44479495268138813</v>
      </c>
      <c r="AA166" s="1">
        <f t="shared" si="54"/>
        <v>1</v>
      </c>
      <c r="AB166" s="1">
        <f t="shared" si="55"/>
        <v>-0.85365853658536595</v>
      </c>
      <c r="AC166" s="1">
        <f t="shared" si="56"/>
        <v>-0.49450549450549453</v>
      </c>
      <c r="AD166" s="1">
        <f t="shared" si="57"/>
        <v>-0.45506419400855924</v>
      </c>
      <c r="AE166" s="1">
        <v>2</v>
      </c>
    </row>
    <row r="167" spans="2:31" x14ac:dyDescent="0.2">
      <c r="B167" s="1">
        <v>12.45</v>
      </c>
      <c r="C167" s="1">
        <v>3.03</v>
      </c>
      <c r="D167" s="1">
        <v>2.64</v>
      </c>
      <c r="E167" s="1">
        <v>27</v>
      </c>
      <c r="F167" s="1">
        <v>97</v>
      </c>
      <c r="G167" s="1">
        <v>1.9</v>
      </c>
      <c r="H167" s="1">
        <v>0.57999999999999996</v>
      </c>
      <c r="I167" s="1">
        <v>0.63</v>
      </c>
      <c r="J167" s="1">
        <v>1.1399999999999999</v>
      </c>
      <c r="K167" s="1">
        <v>7.5</v>
      </c>
      <c r="L167" s="1">
        <v>0.67</v>
      </c>
      <c r="M167" s="1">
        <v>1.73</v>
      </c>
      <c r="N167" s="1">
        <v>880</v>
      </c>
      <c r="O167" s="1">
        <v>2</v>
      </c>
      <c r="R167" s="1">
        <f t="shared" si="45"/>
        <v>0.28947368421052655</v>
      </c>
      <c r="S167" s="1">
        <f t="shared" si="46"/>
        <v>-0.6324110671936759</v>
      </c>
      <c r="T167" s="1">
        <f t="shared" si="47"/>
        <v>0.36898395721925148</v>
      </c>
      <c r="U167" s="1">
        <f t="shared" si="48"/>
        <v>0.22680412371134029</v>
      </c>
      <c r="V167" s="1">
        <f t="shared" si="49"/>
        <v>-0.58695652173913038</v>
      </c>
      <c r="W167" s="1">
        <f t="shared" si="50"/>
        <v>0.11724137931034484</v>
      </c>
      <c r="X167" s="1">
        <f t="shared" si="51"/>
        <v>-0.67932489451476796</v>
      </c>
      <c r="Y167" s="1">
        <f t="shared" si="52"/>
        <v>0.47169811320754707</v>
      </c>
      <c r="Z167" s="1">
        <f t="shared" si="53"/>
        <v>0.18611987381703488</v>
      </c>
      <c r="AA167" s="1">
        <f t="shared" si="54"/>
        <v>0.78668941979522189</v>
      </c>
      <c r="AB167" s="1">
        <f t="shared" si="55"/>
        <v>-0.85365853658536595</v>
      </c>
      <c r="AC167" s="1">
        <f t="shared" si="56"/>
        <v>-0.62637362637362637</v>
      </c>
      <c r="AD167" s="1">
        <f t="shared" si="57"/>
        <v>-0.51212553495007129</v>
      </c>
      <c r="AE167" s="1">
        <v>2</v>
      </c>
    </row>
    <row r="168" spans="2:31" x14ac:dyDescent="0.2">
      <c r="B168" s="1">
        <v>14.34</v>
      </c>
      <c r="C168" s="1">
        <v>1.68</v>
      </c>
      <c r="D168" s="1">
        <v>2.7</v>
      </c>
      <c r="E168" s="1">
        <v>25</v>
      </c>
      <c r="F168" s="1">
        <v>98</v>
      </c>
      <c r="G168" s="1">
        <v>2.8</v>
      </c>
      <c r="H168" s="1">
        <v>1.31</v>
      </c>
      <c r="I168" s="1">
        <v>0.53</v>
      </c>
      <c r="J168" s="1">
        <v>2.7</v>
      </c>
      <c r="K168" s="1">
        <v>13</v>
      </c>
      <c r="L168" s="1">
        <v>0.56999999999999995</v>
      </c>
      <c r="M168" s="1">
        <v>1.96</v>
      </c>
      <c r="N168" s="1">
        <v>660</v>
      </c>
      <c r="O168" s="1">
        <v>2</v>
      </c>
      <c r="R168" s="1">
        <f t="shared" si="45"/>
        <v>-0.30000000000000004</v>
      </c>
      <c r="S168" s="1">
        <f t="shared" si="46"/>
        <v>0.22134387351778662</v>
      </c>
      <c r="T168" s="1">
        <f t="shared" si="47"/>
        <v>9.0909090909090828E-2</v>
      </c>
      <c r="U168" s="1">
        <f t="shared" si="48"/>
        <v>7.2164948453608435E-2</v>
      </c>
      <c r="V168" s="1">
        <f t="shared" si="49"/>
        <v>-0.60869565217391308</v>
      </c>
      <c r="W168" s="1">
        <f t="shared" si="50"/>
        <v>-8.9655172413793172E-2</v>
      </c>
      <c r="X168" s="1">
        <f t="shared" si="51"/>
        <v>-0.75527426160337552</v>
      </c>
      <c r="Y168" s="1">
        <f t="shared" si="52"/>
        <v>0.39622641509433953</v>
      </c>
      <c r="Z168" s="1">
        <f t="shared" si="53"/>
        <v>-0.60252365930599361</v>
      </c>
      <c r="AA168" s="1">
        <f t="shared" si="54"/>
        <v>8.703071672354934E-2</v>
      </c>
      <c r="AB168" s="1">
        <f t="shared" si="55"/>
        <v>-0.86991869918699172</v>
      </c>
      <c r="AC168" s="1">
        <f t="shared" si="56"/>
        <v>-0.77289377289377281</v>
      </c>
      <c r="AD168" s="1">
        <f t="shared" si="57"/>
        <v>-0.65477888730385159</v>
      </c>
      <c r="AE168" s="1">
        <v>2</v>
      </c>
    </row>
    <row r="169" spans="2:31" x14ac:dyDescent="0.2">
      <c r="B169" s="1">
        <v>13.48</v>
      </c>
      <c r="C169" s="1">
        <v>1.67</v>
      </c>
      <c r="D169" s="1">
        <v>2.64</v>
      </c>
      <c r="E169" s="1">
        <v>22.5</v>
      </c>
      <c r="F169" s="1">
        <v>89</v>
      </c>
      <c r="G169" s="1">
        <v>2.6</v>
      </c>
      <c r="H169" s="1">
        <v>1.1000000000000001</v>
      </c>
      <c r="I169" s="1">
        <v>0.52</v>
      </c>
      <c r="J169" s="1">
        <v>2.29</v>
      </c>
      <c r="K169" s="1">
        <v>11.75</v>
      </c>
      <c r="L169" s="1">
        <v>0.56999999999999995</v>
      </c>
      <c r="M169" s="1">
        <v>1.78</v>
      </c>
      <c r="N169" s="1">
        <v>620</v>
      </c>
      <c r="O169" s="1">
        <v>2</v>
      </c>
      <c r="R169" s="1">
        <f t="shared" si="45"/>
        <v>0.39999999999999991</v>
      </c>
      <c r="S169" s="1">
        <f t="shared" si="46"/>
        <v>-3.9525691699605625E-3</v>
      </c>
      <c r="T169" s="1">
        <f t="shared" si="47"/>
        <v>0.26203208556149726</v>
      </c>
      <c r="U169" s="1">
        <f t="shared" si="48"/>
        <v>-3.0927835051546282E-2</v>
      </c>
      <c r="V169" s="1">
        <f t="shared" si="49"/>
        <v>-0.19565217391304346</v>
      </c>
      <c r="W169" s="1">
        <f t="shared" si="50"/>
        <v>-0.4137931034482758</v>
      </c>
      <c r="X169" s="1">
        <f t="shared" si="51"/>
        <v>-0.90717299578059074</v>
      </c>
      <c r="Y169" s="1">
        <f t="shared" si="52"/>
        <v>0.39622641509433953</v>
      </c>
      <c r="Z169" s="1">
        <f t="shared" si="53"/>
        <v>-0.75394321766561512</v>
      </c>
      <c r="AA169" s="1">
        <f t="shared" si="54"/>
        <v>-0.21501706484641647</v>
      </c>
      <c r="AB169" s="1">
        <f t="shared" si="55"/>
        <v>-0.21951219512195119</v>
      </c>
      <c r="AC169" s="1">
        <f t="shared" si="56"/>
        <v>-0.59706959706959706</v>
      </c>
      <c r="AD169" s="1">
        <f t="shared" si="57"/>
        <v>-0.42653352353780316</v>
      </c>
      <c r="AE169" s="1">
        <v>2</v>
      </c>
    </row>
    <row r="170" spans="2:31" x14ac:dyDescent="0.2">
      <c r="B170" s="1">
        <v>12.36</v>
      </c>
      <c r="C170" s="1">
        <v>3.83</v>
      </c>
      <c r="D170" s="1">
        <v>2.38</v>
      </c>
      <c r="E170" s="1">
        <v>21</v>
      </c>
      <c r="F170" s="1">
        <v>88</v>
      </c>
      <c r="G170" s="1">
        <v>2.2999999999999998</v>
      </c>
      <c r="H170" s="1">
        <v>0.92</v>
      </c>
      <c r="I170" s="1">
        <v>0.5</v>
      </c>
      <c r="J170" s="1">
        <v>1.04</v>
      </c>
      <c r="K170" s="1">
        <v>7.65</v>
      </c>
      <c r="L170" s="1">
        <v>0.56000000000000005</v>
      </c>
      <c r="M170" s="1">
        <v>1.58</v>
      </c>
      <c r="N170" s="1">
        <v>520</v>
      </c>
      <c r="O170" s="1">
        <v>2</v>
      </c>
      <c r="R170" s="1">
        <f t="shared" si="45"/>
        <v>-4.2105263157894757E-2</v>
      </c>
      <c r="S170" s="1">
        <f t="shared" si="46"/>
        <v>0</v>
      </c>
      <c r="T170" s="1">
        <f t="shared" si="47"/>
        <v>0.30481283422459904</v>
      </c>
      <c r="U170" s="1">
        <f t="shared" si="48"/>
        <v>0.17525773195876293</v>
      </c>
      <c r="V170" s="1">
        <f t="shared" si="49"/>
        <v>-0.21739130434782605</v>
      </c>
      <c r="W170" s="1">
        <f t="shared" si="50"/>
        <v>-0.53793103448275859</v>
      </c>
      <c r="X170" s="1">
        <f t="shared" si="51"/>
        <v>-0.89029535864978904</v>
      </c>
      <c r="Y170" s="1">
        <f t="shared" si="52"/>
        <v>0.77358490566037719</v>
      </c>
      <c r="Z170" s="1">
        <f t="shared" si="53"/>
        <v>-0.65299684542586744</v>
      </c>
      <c r="AA170" s="1">
        <f t="shared" si="54"/>
        <v>-0.26621160409556321</v>
      </c>
      <c r="AB170" s="1">
        <f t="shared" si="55"/>
        <v>-0.36585365853658536</v>
      </c>
      <c r="AC170" s="1">
        <f t="shared" si="56"/>
        <v>-0.38461538461538469</v>
      </c>
      <c r="AD170" s="1">
        <f t="shared" si="57"/>
        <v>-0.58345221112696155</v>
      </c>
      <c r="AE170" s="1">
        <v>2</v>
      </c>
    </row>
    <row r="171" spans="2:31" x14ac:dyDescent="0.2">
      <c r="B171" s="1">
        <v>13.69</v>
      </c>
      <c r="C171" s="1">
        <v>3.26</v>
      </c>
      <c r="D171" s="1">
        <v>2.54</v>
      </c>
      <c r="E171" s="1">
        <v>20</v>
      </c>
      <c r="F171" s="1">
        <v>107</v>
      </c>
      <c r="G171" s="1">
        <v>1.83</v>
      </c>
      <c r="H171" s="1">
        <v>0.56000000000000005</v>
      </c>
      <c r="I171" s="1">
        <v>0.5</v>
      </c>
      <c r="J171" s="1">
        <v>0.8</v>
      </c>
      <c r="K171" s="1">
        <v>5.88</v>
      </c>
      <c r="L171" s="1">
        <v>0.96</v>
      </c>
      <c r="M171" s="1">
        <v>1.82</v>
      </c>
      <c r="N171" s="1">
        <v>680</v>
      </c>
      <c r="O171" s="1">
        <v>2</v>
      </c>
      <c r="R171" s="1">
        <f t="shared" si="45"/>
        <v>1.5789473684211019E-2</v>
      </c>
      <c r="S171" s="1">
        <f t="shared" si="46"/>
        <v>7.1146245059288571E-2</v>
      </c>
      <c r="T171" s="1">
        <f t="shared" si="47"/>
        <v>5.8823529411764719E-2</v>
      </c>
      <c r="U171" s="1">
        <f t="shared" si="48"/>
        <v>-0.18556701030927825</v>
      </c>
      <c r="V171" s="1">
        <f t="shared" si="49"/>
        <v>-0.21739130434782605</v>
      </c>
      <c r="W171" s="1">
        <f t="shared" si="50"/>
        <v>-0.71724137931034493</v>
      </c>
      <c r="X171" s="1">
        <f t="shared" si="51"/>
        <v>-0.84810126582278489</v>
      </c>
      <c r="Y171" s="1">
        <f t="shared" si="52"/>
        <v>1.8867924528301883E-2</v>
      </c>
      <c r="Z171" s="1">
        <f t="shared" si="53"/>
        <v>-0.66561514195583593</v>
      </c>
      <c r="AA171" s="1">
        <f t="shared" si="54"/>
        <v>-0.31740614334470996</v>
      </c>
      <c r="AB171" s="1">
        <f t="shared" si="55"/>
        <v>-0.67479674796747957</v>
      </c>
      <c r="AC171" s="1">
        <f t="shared" si="56"/>
        <v>-0.64835164835164838</v>
      </c>
      <c r="AD171" s="1">
        <f t="shared" si="57"/>
        <v>-0.43366619115549221</v>
      </c>
      <c r="AE171" s="1">
        <v>2</v>
      </c>
    </row>
    <row r="172" spans="2:31" x14ac:dyDescent="0.2">
      <c r="B172" s="1">
        <v>12.85</v>
      </c>
      <c r="C172" s="1">
        <v>3.27</v>
      </c>
      <c r="D172" s="1">
        <v>2.58</v>
      </c>
      <c r="E172" s="1">
        <v>22</v>
      </c>
      <c r="F172" s="1">
        <v>106</v>
      </c>
      <c r="G172" s="1">
        <v>1.65</v>
      </c>
      <c r="H172" s="1">
        <v>0.6</v>
      </c>
      <c r="I172" s="1">
        <v>0.6</v>
      </c>
      <c r="J172" s="1">
        <v>0.96</v>
      </c>
      <c r="K172" s="1">
        <v>5.58</v>
      </c>
      <c r="L172" s="1">
        <v>0.87</v>
      </c>
      <c r="M172" s="1">
        <v>2.11</v>
      </c>
      <c r="N172" s="1">
        <v>570</v>
      </c>
      <c r="O172" s="1">
        <v>2</v>
      </c>
      <c r="R172" s="1">
        <f t="shared" si="45"/>
        <v>0.44736842105263142</v>
      </c>
      <c r="S172" s="1">
        <f t="shared" si="46"/>
        <v>-0.20158102766798425</v>
      </c>
      <c r="T172" s="1">
        <f t="shared" si="47"/>
        <v>5.3475935828874999E-3</v>
      </c>
      <c r="U172" s="1">
        <f t="shared" si="48"/>
        <v>0.17525773195876293</v>
      </c>
      <c r="V172" s="1">
        <f t="shared" si="49"/>
        <v>-0.56521739130434789</v>
      </c>
      <c r="W172" s="1">
        <f t="shared" si="50"/>
        <v>-0.74482758620689649</v>
      </c>
      <c r="X172" s="1">
        <f t="shared" si="51"/>
        <v>-0.85654008438818563</v>
      </c>
      <c r="Y172" s="1">
        <f t="shared" si="52"/>
        <v>5.6603773584905426E-2</v>
      </c>
      <c r="Z172" s="1">
        <f t="shared" si="53"/>
        <v>-0.60883280757097791</v>
      </c>
      <c r="AA172" s="1">
        <f t="shared" si="54"/>
        <v>0.41638225255972694</v>
      </c>
      <c r="AB172" s="1">
        <f t="shared" si="55"/>
        <v>-0.64227642276422769</v>
      </c>
      <c r="AC172" s="1">
        <f t="shared" si="56"/>
        <v>-0.6996336996336997</v>
      </c>
      <c r="AD172" s="1">
        <f t="shared" si="57"/>
        <v>-0.51925820256776034</v>
      </c>
      <c r="AE172" s="1">
        <v>2</v>
      </c>
    </row>
    <row r="173" spans="2:31" x14ac:dyDescent="0.2">
      <c r="B173" s="1">
        <v>12.96</v>
      </c>
      <c r="C173" s="1">
        <v>3.45</v>
      </c>
      <c r="D173" s="1">
        <v>2.35</v>
      </c>
      <c r="E173" s="1">
        <v>18.5</v>
      </c>
      <c r="F173" s="1">
        <v>106</v>
      </c>
      <c r="G173" s="1">
        <v>1.39</v>
      </c>
      <c r="H173" s="1">
        <v>0.7</v>
      </c>
      <c r="I173" s="1">
        <v>0.4</v>
      </c>
      <c r="J173" s="1">
        <v>0.94</v>
      </c>
      <c r="K173" s="1">
        <v>5.28</v>
      </c>
      <c r="L173" s="1">
        <v>0.68</v>
      </c>
      <c r="M173" s="1">
        <v>1.75</v>
      </c>
      <c r="N173" s="1">
        <v>675</v>
      </c>
      <c r="O173" s="1">
        <v>2</v>
      </c>
      <c r="R173" s="1">
        <f t="shared" si="45"/>
        <v>0.42105263157894757</v>
      </c>
      <c r="S173" s="1">
        <f t="shared" si="46"/>
        <v>0.43083003952569188</v>
      </c>
      <c r="T173" s="1">
        <f t="shared" si="47"/>
        <v>-3.7433155080214164E-2</v>
      </c>
      <c r="U173" s="1">
        <f t="shared" si="48"/>
        <v>0.22680412371134029</v>
      </c>
      <c r="V173" s="1">
        <f t="shared" si="49"/>
        <v>-0.60869565217391308</v>
      </c>
      <c r="W173" s="1">
        <f t="shared" si="50"/>
        <v>-0.7931034482758621</v>
      </c>
      <c r="X173" s="1">
        <f t="shared" si="51"/>
        <v>-0.94514767932489452</v>
      </c>
      <c r="Y173" s="1">
        <f t="shared" si="52"/>
        <v>0.47169811320754707</v>
      </c>
      <c r="Z173" s="1">
        <f t="shared" si="53"/>
        <v>-0.53312302839116721</v>
      </c>
      <c r="AA173" s="1">
        <f t="shared" si="54"/>
        <v>-8.8737201365187812E-2</v>
      </c>
      <c r="AB173" s="1">
        <f t="shared" si="55"/>
        <v>-0.51219512195121941</v>
      </c>
      <c r="AC173" s="1">
        <f t="shared" si="56"/>
        <v>-0.64835164835164838</v>
      </c>
      <c r="AD173" s="1">
        <f t="shared" si="57"/>
        <v>-0.65477888730385159</v>
      </c>
      <c r="AE173" s="1">
        <v>2</v>
      </c>
    </row>
    <row r="174" spans="2:31" x14ac:dyDescent="0.2">
      <c r="B174" s="1">
        <v>13.78</v>
      </c>
      <c r="C174" s="1">
        <v>2.76</v>
      </c>
      <c r="D174" s="1">
        <v>2.2999999999999998</v>
      </c>
      <c r="E174" s="1">
        <v>22</v>
      </c>
      <c r="F174" s="1">
        <v>90</v>
      </c>
      <c r="G174" s="1">
        <v>1.35</v>
      </c>
      <c r="H174" s="1">
        <v>0.68</v>
      </c>
      <c r="I174" s="1">
        <v>0.41</v>
      </c>
      <c r="J174" s="1">
        <v>1.03</v>
      </c>
      <c r="K174" s="1">
        <v>9.58</v>
      </c>
      <c r="L174" s="1">
        <v>0.7</v>
      </c>
      <c r="M174" s="1">
        <v>1.68</v>
      </c>
      <c r="N174" s="1">
        <v>615</v>
      </c>
      <c r="O174" s="1">
        <v>2</v>
      </c>
      <c r="R174" s="1">
        <f t="shared" si="45"/>
        <v>0.27368421052631553</v>
      </c>
      <c r="S174" s="1">
        <f t="shared" si="46"/>
        <v>0.16996047430830052</v>
      </c>
      <c r="T174" s="1">
        <f t="shared" si="47"/>
        <v>0.3262032085561497</v>
      </c>
      <c r="U174" s="1">
        <f t="shared" si="48"/>
        <v>0.27835051546391765</v>
      </c>
      <c r="V174" s="1">
        <f t="shared" si="49"/>
        <v>-0.10869565217391308</v>
      </c>
      <c r="W174" s="1">
        <f t="shared" si="50"/>
        <v>-0.50344827586206897</v>
      </c>
      <c r="X174" s="1">
        <f t="shared" si="51"/>
        <v>-0.75527426160337552</v>
      </c>
      <c r="Y174" s="1">
        <f t="shared" si="52"/>
        <v>0.13207547169811318</v>
      </c>
      <c r="Z174" s="1">
        <f t="shared" si="53"/>
        <v>-0.33753943217665616</v>
      </c>
      <c r="AA174" s="1">
        <f t="shared" si="54"/>
        <v>0.60409556313993162</v>
      </c>
      <c r="AB174" s="1">
        <f t="shared" si="55"/>
        <v>-0.39837398373983735</v>
      </c>
      <c r="AC174" s="1">
        <f t="shared" si="56"/>
        <v>-0.78754578754578752</v>
      </c>
      <c r="AD174" s="1">
        <f t="shared" si="57"/>
        <v>-0.40513552068473613</v>
      </c>
      <c r="AE174" s="1">
        <v>2</v>
      </c>
    </row>
    <row r="175" spans="2:31" x14ac:dyDescent="0.2">
      <c r="B175" s="1">
        <v>13.73</v>
      </c>
      <c r="C175" s="1">
        <v>4.3600000000000003</v>
      </c>
      <c r="D175" s="1">
        <v>2.2599999999999998</v>
      </c>
      <c r="E175" s="1">
        <v>22.5</v>
      </c>
      <c r="F175" s="1">
        <v>88</v>
      </c>
      <c r="G175" s="1">
        <v>1.28</v>
      </c>
      <c r="H175" s="1">
        <v>0.47</v>
      </c>
      <c r="I175" s="1">
        <v>0.52</v>
      </c>
      <c r="J175" s="1">
        <v>1.1499999999999999</v>
      </c>
      <c r="K175" s="1">
        <v>6.62</v>
      </c>
      <c r="L175" s="1">
        <v>0.78</v>
      </c>
      <c r="M175" s="1">
        <v>1.75</v>
      </c>
      <c r="N175" s="1">
        <v>520</v>
      </c>
      <c r="O175" s="1">
        <v>2</v>
      </c>
      <c r="R175" s="1">
        <f t="shared" si="45"/>
        <v>-5.7894736842104999E-2</v>
      </c>
      <c r="S175" s="1">
        <f t="shared" si="46"/>
        <v>3.9525691699604737E-2</v>
      </c>
      <c r="T175" s="1">
        <f t="shared" si="47"/>
        <v>5.3475935828874999E-3</v>
      </c>
      <c r="U175" s="1">
        <f t="shared" si="48"/>
        <v>-8.247422680412364E-2</v>
      </c>
      <c r="V175" s="1">
        <f t="shared" si="49"/>
        <v>-0.60869565217391308</v>
      </c>
      <c r="W175" s="1">
        <f t="shared" si="50"/>
        <v>-0.65517241379310343</v>
      </c>
      <c r="X175" s="1">
        <f t="shared" si="51"/>
        <v>-0.86497890295358648</v>
      </c>
      <c r="Y175" s="1">
        <f t="shared" si="52"/>
        <v>1.8867924528301883E-2</v>
      </c>
      <c r="Z175" s="1">
        <f t="shared" si="53"/>
        <v>-0.64668769716088326</v>
      </c>
      <c r="AA175" s="1">
        <f t="shared" si="54"/>
        <v>0.53242320819112621</v>
      </c>
      <c r="AB175" s="1">
        <f t="shared" si="55"/>
        <v>-0.6097560975609756</v>
      </c>
      <c r="AC175" s="1">
        <f t="shared" si="56"/>
        <v>-0.64835164835164838</v>
      </c>
      <c r="AD175" s="1">
        <f t="shared" si="57"/>
        <v>-0.41940085592011411</v>
      </c>
      <c r="AE175" s="1">
        <v>2</v>
      </c>
    </row>
    <row r="176" spans="2:31" x14ac:dyDescent="0.2">
      <c r="B176" s="1">
        <v>13.45</v>
      </c>
      <c r="C176" s="1">
        <v>3.7</v>
      </c>
      <c r="D176" s="1">
        <v>2.6</v>
      </c>
      <c r="E176" s="1">
        <v>23</v>
      </c>
      <c r="F176" s="1">
        <v>111</v>
      </c>
      <c r="G176" s="1">
        <v>1.7</v>
      </c>
      <c r="H176" s="1">
        <v>0.92</v>
      </c>
      <c r="I176" s="1">
        <v>0.43</v>
      </c>
      <c r="J176" s="1">
        <v>1.46</v>
      </c>
      <c r="K176" s="1">
        <v>10.68</v>
      </c>
      <c r="L176" s="1">
        <v>0.85</v>
      </c>
      <c r="M176" s="1">
        <v>1.56</v>
      </c>
      <c r="N176" s="1">
        <v>695</v>
      </c>
      <c r="O176" s="1">
        <v>2</v>
      </c>
      <c r="R176" s="1">
        <f t="shared" si="45"/>
        <v>0.34210526315789491</v>
      </c>
      <c r="S176" s="1">
        <f t="shared" si="46"/>
        <v>-0.2727272727272726</v>
      </c>
      <c r="T176" s="1">
        <f t="shared" si="47"/>
        <v>0.42245989304812825</v>
      </c>
      <c r="U176" s="1">
        <f t="shared" si="48"/>
        <v>0.43298969072164972</v>
      </c>
      <c r="V176" s="1">
        <f t="shared" si="49"/>
        <v>-0.23913043478260865</v>
      </c>
      <c r="W176" s="1">
        <f t="shared" si="50"/>
        <v>-0.60689655172413781</v>
      </c>
      <c r="X176" s="1">
        <f t="shared" si="51"/>
        <v>-0.78902953586497893</v>
      </c>
      <c r="Y176" s="1">
        <f t="shared" si="52"/>
        <v>-1.8867924528301883E-2</v>
      </c>
      <c r="Z176" s="1">
        <f t="shared" si="53"/>
        <v>-0.28706624605678221</v>
      </c>
      <c r="AA176" s="1">
        <f t="shared" si="54"/>
        <v>0.2593856655290101</v>
      </c>
      <c r="AB176" s="1">
        <f t="shared" si="55"/>
        <v>-0.5772357723577235</v>
      </c>
      <c r="AC176" s="1">
        <f t="shared" si="56"/>
        <v>-0.61172161172161177</v>
      </c>
      <c r="AD176" s="1">
        <f t="shared" si="57"/>
        <v>-0.32667617689015693</v>
      </c>
      <c r="AE176" s="1">
        <v>2</v>
      </c>
    </row>
    <row r="177" spans="2:31" x14ac:dyDescent="0.2">
      <c r="B177" s="1">
        <v>12.82</v>
      </c>
      <c r="C177" s="1">
        <v>3.37</v>
      </c>
      <c r="D177" s="1">
        <v>2.2999999999999998</v>
      </c>
      <c r="E177" s="1">
        <v>19.5</v>
      </c>
      <c r="F177" s="1">
        <v>88</v>
      </c>
      <c r="G177" s="1">
        <v>1.48</v>
      </c>
      <c r="H177" s="1">
        <v>0.66</v>
      </c>
      <c r="I177" s="1">
        <v>0.4</v>
      </c>
      <c r="J177" s="1">
        <v>0.97</v>
      </c>
      <c r="K177" s="1">
        <v>10.26</v>
      </c>
      <c r="L177" s="1">
        <v>0.72</v>
      </c>
      <c r="M177" s="1">
        <v>1.75</v>
      </c>
      <c r="N177" s="1">
        <v>685</v>
      </c>
      <c r="O177" s="1">
        <v>2</v>
      </c>
      <c r="R177" s="1">
        <f t="shared" si="45"/>
        <v>0.2473684210526319</v>
      </c>
      <c r="S177" s="1">
        <f t="shared" si="46"/>
        <v>0.52569169960474293</v>
      </c>
      <c r="T177" s="1">
        <f t="shared" si="47"/>
        <v>0.60427807486630991</v>
      </c>
      <c r="U177" s="1">
        <f t="shared" si="48"/>
        <v>0.48453608247422686</v>
      </c>
      <c r="V177" s="1">
        <f t="shared" si="49"/>
        <v>-8.6956521739130488E-2</v>
      </c>
      <c r="W177" s="1">
        <f t="shared" si="50"/>
        <v>-0.31034482758620685</v>
      </c>
      <c r="X177" s="1">
        <f t="shared" si="51"/>
        <v>-0.73839662447257393</v>
      </c>
      <c r="Y177" s="1">
        <f t="shared" si="52"/>
        <v>-0.47169811320754718</v>
      </c>
      <c r="Z177" s="1">
        <f t="shared" si="53"/>
        <v>-0.55835962145110396</v>
      </c>
      <c r="AA177" s="1">
        <f t="shared" si="54"/>
        <v>0.23208191126279853</v>
      </c>
      <c r="AB177" s="1">
        <f t="shared" si="55"/>
        <v>-0.69105691056910556</v>
      </c>
      <c r="AC177" s="1">
        <f t="shared" si="56"/>
        <v>-0.52380952380952395</v>
      </c>
      <c r="AD177" s="1">
        <f t="shared" si="57"/>
        <v>-0.49786019971469331</v>
      </c>
      <c r="AE177" s="1">
        <v>2</v>
      </c>
    </row>
    <row r="178" spans="2:31" x14ac:dyDescent="0.2">
      <c r="B178" s="1">
        <v>13.58</v>
      </c>
      <c r="C178" s="1">
        <v>2.58</v>
      </c>
      <c r="D178" s="1">
        <v>2.69</v>
      </c>
      <c r="E178" s="1">
        <v>24.5</v>
      </c>
      <c r="F178" s="1">
        <v>105</v>
      </c>
      <c r="G178" s="1">
        <v>1.55</v>
      </c>
      <c r="H178" s="1">
        <v>0.84</v>
      </c>
      <c r="I178" s="1">
        <v>0.39</v>
      </c>
      <c r="J178" s="1">
        <v>1.54</v>
      </c>
      <c r="K178" s="1">
        <v>8.66</v>
      </c>
      <c r="L178" s="1">
        <v>0.74</v>
      </c>
      <c r="M178" s="1">
        <v>1.8</v>
      </c>
      <c r="N178" s="1">
        <v>750</v>
      </c>
      <c r="O178" s="1">
        <v>2</v>
      </c>
      <c r="R178" s="1">
        <f t="shared" si="45"/>
        <v>-0.38421052631578967</v>
      </c>
      <c r="S178" s="1">
        <f t="shared" si="46"/>
        <v>-9.486166007905128E-2</v>
      </c>
      <c r="T178" s="1">
        <f t="shared" si="47"/>
        <v>2.6737967914438387E-2</v>
      </c>
      <c r="U178" s="1">
        <f t="shared" si="48"/>
        <v>-0.13402061855670089</v>
      </c>
      <c r="V178" s="1">
        <f t="shared" si="49"/>
        <v>-0.43478260869565222</v>
      </c>
      <c r="W178" s="1">
        <f t="shared" si="50"/>
        <v>-0.81379310344827582</v>
      </c>
      <c r="X178" s="1">
        <f t="shared" si="51"/>
        <v>-0.93670886075949367</v>
      </c>
      <c r="Y178" s="1">
        <f t="shared" si="52"/>
        <v>1.8867924528301883E-2</v>
      </c>
      <c r="Z178" s="1">
        <f t="shared" si="53"/>
        <v>-0.79810725552050465</v>
      </c>
      <c r="AA178" s="1">
        <f t="shared" si="54"/>
        <v>-0.279863481228669</v>
      </c>
      <c r="AB178" s="1">
        <f t="shared" si="55"/>
        <v>-0.70731707317073167</v>
      </c>
      <c r="AC178" s="1">
        <f t="shared" si="56"/>
        <v>-0.58974358974358965</v>
      </c>
      <c r="AD178" s="1">
        <f t="shared" si="57"/>
        <v>-0.66904422253922968</v>
      </c>
      <c r="AE178" s="1">
        <v>2</v>
      </c>
    </row>
    <row r="179" spans="2:31" x14ac:dyDescent="0.2">
      <c r="B179" s="1">
        <v>13.4</v>
      </c>
      <c r="C179" s="1">
        <v>4.5999999999999996</v>
      </c>
      <c r="D179" s="1">
        <v>2.86</v>
      </c>
      <c r="E179" s="1">
        <v>25</v>
      </c>
      <c r="F179" s="1">
        <v>112</v>
      </c>
      <c r="G179" s="1">
        <v>1.98</v>
      </c>
      <c r="H179" s="1">
        <v>0.96</v>
      </c>
      <c r="I179" s="1">
        <v>0.27</v>
      </c>
      <c r="J179" s="1">
        <v>1.1100000000000001</v>
      </c>
      <c r="K179" s="1">
        <v>8.5</v>
      </c>
      <c r="L179" s="1">
        <v>0.67</v>
      </c>
      <c r="M179" s="1">
        <v>1.92</v>
      </c>
      <c r="N179" s="1">
        <v>630</v>
      </c>
      <c r="O179" s="1">
        <v>2</v>
      </c>
      <c r="R179" s="1">
        <f t="shared" si="45"/>
        <v>-8.4210526315789513E-2</v>
      </c>
      <c r="S179" s="1">
        <f t="shared" si="46"/>
        <v>-0.34782608695652162</v>
      </c>
      <c r="T179" s="1">
        <f t="shared" si="47"/>
        <v>-1.6042780748663388E-2</v>
      </c>
      <c r="U179" s="1">
        <f t="shared" si="48"/>
        <v>-8.247422680412364E-2</v>
      </c>
      <c r="V179" s="1">
        <f t="shared" si="49"/>
        <v>-0.65217391304347827</v>
      </c>
      <c r="W179" s="1">
        <f t="shared" si="50"/>
        <v>-0.71724137931034493</v>
      </c>
      <c r="X179" s="1">
        <f t="shared" si="51"/>
        <v>-0.92827004219409281</v>
      </c>
      <c r="Y179" s="1">
        <f t="shared" si="52"/>
        <v>0.320754716981132</v>
      </c>
      <c r="Z179" s="1">
        <f t="shared" si="53"/>
        <v>-0.85488958990536279</v>
      </c>
      <c r="AA179" s="1">
        <f t="shared" si="54"/>
        <v>0.47098959044368582</v>
      </c>
      <c r="AB179" s="1">
        <f t="shared" si="55"/>
        <v>-0.85365853658536595</v>
      </c>
      <c r="AC179" s="1">
        <f t="shared" si="56"/>
        <v>-0.73626373626373631</v>
      </c>
      <c r="AD179" s="1">
        <f t="shared" si="57"/>
        <v>-0.72610556348074184</v>
      </c>
      <c r="AE179" s="1">
        <v>2</v>
      </c>
    </row>
    <row r="180" spans="2:31" x14ac:dyDescent="0.2">
      <c r="B180" s="1">
        <v>12.2</v>
      </c>
      <c r="C180" s="1">
        <v>3.03</v>
      </c>
      <c r="D180" s="1">
        <v>2.3199999999999998</v>
      </c>
      <c r="E180" s="1">
        <v>19</v>
      </c>
      <c r="F180" s="1">
        <v>96</v>
      </c>
      <c r="G180" s="1">
        <v>1.25</v>
      </c>
      <c r="H180" s="1">
        <v>0.49</v>
      </c>
      <c r="I180" s="1">
        <v>0.4</v>
      </c>
      <c r="J180" s="1">
        <v>0.73</v>
      </c>
      <c r="K180" s="1">
        <v>5.5</v>
      </c>
      <c r="L180" s="1">
        <v>0.66</v>
      </c>
      <c r="M180" s="1">
        <v>1.83</v>
      </c>
      <c r="N180" s="1">
        <v>510</v>
      </c>
      <c r="O180" s="1">
        <v>2</v>
      </c>
      <c r="R180" s="1">
        <f t="shared" si="45"/>
        <v>0.64736842105263159</v>
      </c>
      <c r="S180" s="1">
        <f t="shared" si="46"/>
        <v>-0.30039525691699609</v>
      </c>
      <c r="T180" s="1">
        <f t="shared" si="47"/>
        <v>0.19786096256684482</v>
      </c>
      <c r="U180" s="1">
        <f t="shared" si="48"/>
        <v>-3.0927835051546282E-2</v>
      </c>
      <c r="V180" s="1">
        <f t="shared" si="49"/>
        <v>-0.54347826086956519</v>
      </c>
      <c r="W180" s="1">
        <f t="shared" si="50"/>
        <v>-0.51724137931034486</v>
      </c>
      <c r="X180" s="1">
        <f t="shared" si="51"/>
        <v>-0.84810126582278489</v>
      </c>
      <c r="Y180" s="1">
        <f t="shared" si="52"/>
        <v>0.16981132075471694</v>
      </c>
      <c r="Z180" s="1">
        <f t="shared" si="53"/>
        <v>-0.47634069400630907</v>
      </c>
      <c r="AA180" s="1">
        <f t="shared" si="54"/>
        <v>0.4368600682593855</v>
      </c>
      <c r="AB180" s="1">
        <f t="shared" si="55"/>
        <v>-0.77235772357723576</v>
      </c>
      <c r="AC180" s="1">
        <f t="shared" si="56"/>
        <v>-0.67765567765567769</v>
      </c>
      <c r="AD180" s="1">
        <f t="shared" si="57"/>
        <v>-0.45506419400855924</v>
      </c>
      <c r="AE180" s="1">
        <v>2</v>
      </c>
    </row>
    <row r="181" spans="2:31" x14ac:dyDescent="0.2">
      <c r="B181" s="1">
        <v>12.77</v>
      </c>
      <c r="C181" s="1">
        <v>2.39</v>
      </c>
      <c r="D181" s="1">
        <v>2.2799999999999998</v>
      </c>
      <c r="E181" s="1">
        <v>19.5</v>
      </c>
      <c r="F181" s="1">
        <v>86</v>
      </c>
      <c r="G181" s="1">
        <v>1.39</v>
      </c>
      <c r="H181" s="1">
        <v>0.51</v>
      </c>
      <c r="I181" s="1">
        <v>0.48</v>
      </c>
      <c r="J181" s="1">
        <v>0.64</v>
      </c>
      <c r="K181" s="1">
        <v>9.8999989999999993</v>
      </c>
      <c r="L181" s="1">
        <v>0.56999999999999995</v>
      </c>
      <c r="M181" s="1">
        <v>1.63</v>
      </c>
      <c r="N181" s="1">
        <v>470</v>
      </c>
      <c r="O181" s="1">
        <v>2</v>
      </c>
      <c r="R181" s="1">
        <f t="shared" si="45"/>
        <v>0.41052631578947429</v>
      </c>
      <c r="S181" s="1">
        <f t="shared" si="46"/>
        <v>0.94071146245059301</v>
      </c>
      <c r="T181" s="1">
        <f t="shared" si="47"/>
        <v>0.16577540106951894</v>
      </c>
      <c r="U181" s="1">
        <f t="shared" si="48"/>
        <v>2.0618556701031077E-2</v>
      </c>
      <c r="V181" s="1">
        <f t="shared" si="49"/>
        <v>-0.45652173913043481</v>
      </c>
      <c r="W181" s="1">
        <f t="shared" si="50"/>
        <v>-0.51724137931034486</v>
      </c>
      <c r="X181" s="1">
        <f t="shared" si="51"/>
        <v>-0.88607594936708867</v>
      </c>
      <c r="Y181" s="1">
        <f t="shared" si="52"/>
        <v>0.47169811320754707</v>
      </c>
      <c r="Z181" s="1">
        <f t="shared" si="53"/>
        <v>-0.58990536277602512</v>
      </c>
      <c r="AA181" s="1">
        <f t="shared" si="54"/>
        <v>9.5563139931740482E-2</v>
      </c>
      <c r="AB181" s="1">
        <f t="shared" si="55"/>
        <v>-0.73983739837398366</v>
      </c>
      <c r="AC181" s="1">
        <f t="shared" si="56"/>
        <v>-0.65567765567765568</v>
      </c>
      <c r="AD181" s="1">
        <f t="shared" si="57"/>
        <v>-0.34094151212553492</v>
      </c>
      <c r="AE181" s="1">
        <v>2</v>
      </c>
    </row>
    <row r="182" spans="2:31" x14ac:dyDescent="0.2">
      <c r="B182" s="1">
        <v>14.16</v>
      </c>
      <c r="C182" s="1">
        <v>2.5099999999999998</v>
      </c>
      <c r="D182" s="1">
        <v>2.48</v>
      </c>
      <c r="E182" s="1">
        <v>20</v>
      </c>
      <c r="F182" s="1">
        <v>91</v>
      </c>
      <c r="G182" s="1">
        <v>1.68</v>
      </c>
      <c r="H182" s="1">
        <v>0.7</v>
      </c>
      <c r="I182" s="1">
        <v>0.44</v>
      </c>
      <c r="J182" s="1">
        <v>1.24</v>
      </c>
      <c r="K182" s="1">
        <v>9.6999999999999993</v>
      </c>
      <c r="L182" s="1">
        <v>0.62</v>
      </c>
      <c r="M182" s="1">
        <v>1.71</v>
      </c>
      <c r="N182" s="1">
        <v>660</v>
      </c>
      <c r="O182" s="1">
        <v>2</v>
      </c>
      <c r="R182" s="1">
        <f t="shared" si="45"/>
        <v>0.2473684210526319</v>
      </c>
      <c r="S182" s="1">
        <f t="shared" si="46"/>
        <v>0.25296442687747045</v>
      </c>
      <c r="T182" s="1">
        <f t="shared" si="47"/>
        <v>0.19786096256684482</v>
      </c>
      <c r="U182" s="1">
        <f t="shared" si="48"/>
        <v>0.27835051546391765</v>
      </c>
      <c r="V182" s="1">
        <f t="shared" si="49"/>
        <v>-0.30434782608695654</v>
      </c>
      <c r="W182" s="1">
        <f t="shared" si="50"/>
        <v>-0.43448275862068964</v>
      </c>
      <c r="X182" s="1">
        <f t="shared" si="51"/>
        <v>-0.8270042194092827</v>
      </c>
      <c r="Y182" s="1">
        <f t="shared" si="52"/>
        <v>0.13207547169811318</v>
      </c>
      <c r="Z182" s="1">
        <f t="shared" si="53"/>
        <v>-0.36908517350157732</v>
      </c>
      <c r="AA182" s="1">
        <f t="shared" si="54"/>
        <v>2.7303754266211566E-2</v>
      </c>
      <c r="AB182" s="1">
        <f t="shared" si="55"/>
        <v>-0.64227642276422769</v>
      </c>
      <c r="AC182" s="1">
        <f t="shared" si="56"/>
        <v>-0.78754578754578752</v>
      </c>
      <c r="AD182" s="1">
        <f t="shared" si="57"/>
        <v>-0.32667617689015693</v>
      </c>
      <c r="AE182" s="1">
        <v>2</v>
      </c>
    </row>
    <row r="183" spans="2:31" x14ac:dyDescent="0.2">
      <c r="B183" s="1">
        <v>13.71</v>
      </c>
      <c r="C183" s="1">
        <v>5.65</v>
      </c>
      <c r="D183" s="1">
        <v>2.4500000000000002</v>
      </c>
      <c r="E183" s="1">
        <v>20.5</v>
      </c>
      <c r="F183" s="1">
        <v>95</v>
      </c>
      <c r="G183" s="1">
        <v>1.68</v>
      </c>
      <c r="H183" s="1">
        <v>0.61</v>
      </c>
      <c r="I183" s="1">
        <v>0.52</v>
      </c>
      <c r="J183" s="1">
        <v>1.06</v>
      </c>
      <c r="K183" s="1">
        <v>7.7</v>
      </c>
      <c r="L183" s="1">
        <v>0.64</v>
      </c>
      <c r="M183" s="1">
        <v>1.74</v>
      </c>
      <c r="N183" s="1">
        <v>740</v>
      </c>
      <c r="O183" s="1">
        <v>2</v>
      </c>
      <c r="R183" s="1">
        <f t="shared" si="45"/>
        <v>0.17894736842105252</v>
      </c>
      <c r="S183" s="1">
        <f t="shared" si="46"/>
        <v>0.39920948616600804</v>
      </c>
      <c r="T183" s="1">
        <f t="shared" si="47"/>
        <v>-3.7433155080214164E-2</v>
      </c>
      <c r="U183" s="1">
        <f t="shared" si="48"/>
        <v>-3.0927835051546282E-2</v>
      </c>
      <c r="V183" s="1">
        <f t="shared" si="49"/>
        <v>8.6956521739130377E-2</v>
      </c>
      <c r="W183" s="1">
        <f t="shared" si="50"/>
        <v>-0.57931034482758614</v>
      </c>
      <c r="X183" s="1">
        <f t="shared" si="51"/>
        <v>-0.85232067510548526</v>
      </c>
      <c r="Y183" s="1">
        <f t="shared" si="52"/>
        <v>0.13207547169811318</v>
      </c>
      <c r="Z183" s="1">
        <f t="shared" si="53"/>
        <v>-0.40694006309148256</v>
      </c>
      <c r="AA183" s="1">
        <f t="shared" si="54"/>
        <v>0.52218430034129693</v>
      </c>
      <c r="AB183" s="1">
        <f t="shared" si="55"/>
        <v>-0.82113821138211385</v>
      </c>
      <c r="AC183" s="1">
        <f t="shared" si="56"/>
        <v>-0.78754578754578752</v>
      </c>
      <c r="AD183" s="1">
        <f t="shared" si="57"/>
        <v>-0.20542082738944367</v>
      </c>
      <c r="AE183" s="1">
        <v>2</v>
      </c>
    </row>
    <row r="184" spans="2:31" x14ac:dyDescent="0.2">
      <c r="B184" s="1">
        <v>13.4</v>
      </c>
      <c r="C184" s="1">
        <v>3.91</v>
      </c>
      <c r="D184" s="1">
        <v>2.48</v>
      </c>
      <c r="E184" s="1">
        <v>23</v>
      </c>
      <c r="F184" s="1">
        <v>102</v>
      </c>
      <c r="G184" s="1">
        <v>1.8</v>
      </c>
      <c r="H184" s="1">
        <v>0.75</v>
      </c>
      <c r="I184" s="1">
        <v>0.43</v>
      </c>
      <c r="J184" s="1">
        <v>1.41</v>
      </c>
      <c r="K184" s="1">
        <v>7.3</v>
      </c>
      <c r="L184" s="1">
        <v>0.7</v>
      </c>
      <c r="M184" s="1">
        <v>1.56</v>
      </c>
      <c r="N184" s="1">
        <v>750</v>
      </c>
      <c r="O184" s="1">
        <v>2</v>
      </c>
      <c r="R184" s="1">
        <f t="shared" si="45"/>
        <v>0.12631578947368438</v>
      </c>
      <c r="S184" s="1">
        <f t="shared" si="46"/>
        <v>-0.26877470355731226</v>
      </c>
      <c r="T184" s="1">
        <f t="shared" si="47"/>
        <v>8.0213903743315607E-2</v>
      </c>
      <c r="U184" s="1">
        <f t="shared" si="48"/>
        <v>-3.0927835051546282E-2</v>
      </c>
      <c r="V184" s="1">
        <f t="shared" si="49"/>
        <v>8.6956521739130377E-2</v>
      </c>
      <c r="W184" s="1">
        <f t="shared" si="50"/>
        <v>-0.53793103448275859</v>
      </c>
      <c r="X184" s="1">
        <f t="shared" si="51"/>
        <v>-0.85654008438818563</v>
      </c>
      <c r="Y184" s="1">
        <f t="shared" si="52"/>
        <v>0.50943396226415105</v>
      </c>
      <c r="Z184" s="1">
        <f t="shared" si="53"/>
        <v>-0.33753943217665616</v>
      </c>
      <c r="AA184" s="1">
        <f t="shared" si="54"/>
        <v>0.36860068259385681</v>
      </c>
      <c r="AB184" s="1">
        <f t="shared" si="55"/>
        <v>-0.80487804878048785</v>
      </c>
      <c r="AC184" s="1">
        <f t="shared" si="56"/>
        <v>-0.7435897435897435</v>
      </c>
      <c r="AD184" s="1">
        <f t="shared" si="57"/>
        <v>-0.19828815977175462</v>
      </c>
      <c r="AE184" s="1">
        <v>2</v>
      </c>
    </row>
    <row r="185" spans="2:31" x14ac:dyDescent="0.2">
      <c r="B185" s="1">
        <v>13.27</v>
      </c>
      <c r="C185" s="1">
        <v>4.28</v>
      </c>
      <c r="D185" s="1">
        <v>2.2599999999999998</v>
      </c>
      <c r="E185" s="1">
        <v>20</v>
      </c>
      <c r="F185" s="1">
        <v>120</v>
      </c>
      <c r="G185" s="1">
        <v>1.59</v>
      </c>
      <c r="H185" s="1">
        <v>0.69</v>
      </c>
      <c r="I185" s="1">
        <v>0.43</v>
      </c>
      <c r="J185" s="1">
        <v>1.35</v>
      </c>
      <c r="K185" s="1">
        <v>10.199999999999999</v>
      </c>
      <c r="L185" s="1">
        <v>0.59</v>
      </c>
      <c r="M185" s="1">
        <v>1.56</v>
      </c>
      <c r="N185" s="1">
        <v>835</v>
      </c>
      <c r="O185" s="1">
        <v>2</v>
      </c>
      <c r="R185" s="1">
        <f t="shared" si="45"/>
        <v>0.63157894736842146</v>
      </c>
      <c r="S185" s="1">
        <f t="shared" si="46"/>
        <v>0.32806324110671925</v>
      </c>
      <c r="T185" s="1">
        <f t="shared" si="47"/>
        <v>0.47593582887700547</v>
      </c>
      <c r="U185" s="1">
        <f t="shared" si="48"/>
        <v>0.43298969072164972</v>
      </c>
      <c r="V185" s="1">
        <f t="shared" si="49"/>
        <v>-0.43478260869565222</v>
      </c>
      <c r="W185" s="1">
        <f t="shared" si="50"/>
        <v>-0.26206896551724146</v>
      </c>
      <c r="X185" s="1">
        <f t="shared" si="51"/>
        <v>-0.82278481012658233</v>
      </c>
      <c r="Y185" s="1">
        <f t="shared" si="52"/>
        <v>0.62264150943396235</v>
      </c>
      <c r="Z185" s="1">
        <f t="shared" si="53"/>
        <v>-0.40694006309148256</v>
      </c>
      <c r="AA185" s="1">
        <f t="shared" si="54"/>
        <v>0.35153583617747408</v>
      </c>
      <c r="AB185" s="1">
        <f t="shared" si="55"/>
        <v>-0.78861788617886175</v>
      </c>
      <c r="AC185" s="1">
        <f t="shared" si="56"/>
        <v>-0.75824175824175821</v>
      </c>
      <c r="AD185" s="1">
        <f t="shared" si="57"/>
        <v>-0.59771754636233954</v>
      </c>
      <c r="AE185" s="1">
        <v>2</v>
      </c>
    </row>
    <row r="186" spans="2:31" x14ac:dyDescent="0.2">
      <c r="B186" s="1">
        <v>13.17</v>
      </c>
      <c r="C186" s="1">
        <v>2.59</v>
      </c>
      <c r="D186" s="1">
        <v>2.37</v>
      </c>
      <c r="E186" s="1">
        <v>20</v>
      </c>
      <c r="F186" s="1">
        <v>120</v>
      </c>
      <c r="G186" s="1">
        <v>1.65</v>
      </c>
      <c r="H186" s="1">
        <v>0.68</v>
      </c>
      <c r="I186" s="1">
        <v>0.53</v>
      </c>
      <c r="J186" s="1">
        <v>1.46</v>
      </c>
      <c r="K186" s="1">
        <v>9.3000000000000007</v>
      </c>
      <c r="L186" s="1">
        <v>0.6</v>
      </c>
      <c r="M186" s="1">
        <v>1.62</v>
      </c>
      <c r="N186" s="1">
        <v>840</v>
      </c>
      <c r="O186" s="1">
        <v>2</v>
      </c>
    </row>
    <row r="187" spans="2:31" x14ac:dyDescent="0.2">
      <c r="B187" s="1">
        <v>14.13</v>
      </c>
      <c r="C187" s="1">
        <v>4.0999999999999996</v>
      </c>
      <c r="D187" s="1">
        <v>2.74</v>
      </c>
      <c r="E187" s="1">
        <v>24.5</v>
      </c>
      <c r="F187" s="1">
        <v>96</v>
      </c>
      <c r="G187" s="1">
        <v>2.0499999999999998</v>
      </c>
      <c r="H187" s="1">
        <v>0.76</v>
      </c>
      <c r="I187" s="1">
        <v>0.56000000000000005</v>
      </c>
      <c r="J187" s="1">
        <v>1.35</v>
      </c>
      <c r="K187" s="1">
        <v>9.1999999999999993</v>
      </c>
      <c r="L187" s="1">
        <v>0.61</v>
      </c>
      <c r="M187" s="1">
        <v>1.6</v>
      </c>
      <c r="N187" s="1">
        <v>560</v>
      </c>
      <c r="O187" s="1">
        <v>2</v>
      </c>
    </row>
  </sheetData>
  <mergeCells count="6">
    <mergeCell ref="BT5:CC5"/>
    <mergeCell ref="B6:O6"/>
    <mergeCell ref="R6:AE6"/>
    <mergeCell ref="AG6:AT6"/>
    <mergeCell ref="BB5:BH5"/>
    <mergeCell ref="BJ5:BR5"/>
  </mergeCells>
  <conditionalFormatting sqref="BB7:BC7">
    <cfRule type="duplicateValues" dxfId="1" priority="2"/>
  </conditionalFormatting>
  <conditionalFormatting sqref="BT7:BU7">
    <cfRule type="duplicateValues" dxfId="0" priority="1"/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2CCFF-95E7-4B4A-8004-8953A0015257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6B8393-5DE5-41F6-B7F0-5C8477C932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wine_dataset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Ervin Borkovski</dc:creator>
  <cp:lastModifiedBy>Ervin Borkovski</cp:lastModifiedBy>
  <dcterms:created xsi:type="dcterms:W3CDTF">2015-06-05T18:17:20Z</dcterms:created>
  <dcterms:modified xsi:type="dcterms:W3CDTF">2026-03-26T08:52:20Z</dcterms:modified>
</cp:coreProperties>
</file>